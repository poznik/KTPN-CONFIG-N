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авигация" sheetId="1" state="visible" r:id="rId1"/>
    <sheet xmlns:r="http://schemas.openxmlformats.org/officeDocument/2006/relationships" name="Расчет КТПН" sheetId="2" state="visible" r:id="rId2"/>
    <sheet xmlns:r="http://schemas.openxmlformats.org/officeDocument/2006/relationships" name="БД_Трансформаторы" sheetId="3" state="visible" r:id="rId3"/>
    <sheet xmlns:r="http://schemas.openxmlformats.org/officeDocument/2006/relationships" name="БД_Аппараты_РУНН" sheetId="4" state="visible" r:id="rId4"/>
    <sheet xmlns:r="http://schemas.openxmlformats.org/officeDocument/2006/relationships" name="Алттранс" sheetId="5" state="visible" r:id="rId5"/>
    <sheet xmlns:r="http://schemas.openxmlformats.org/officeDocument/2006/relationships" name="СВЭЛ" sheetId="6" state="visible" r:id="rId6"/>
    <sheet xmlns:r="http://schemas.openxmlformats.org/officeDocument/2006/relationships" name="МЭТЗ" sheetId="7" state="visible" r:id="rId7"/>
    <sheet xmlns:r="http://schemas.openxmlformats.org/officeDocument/2006/relationships" name="Электрощит" sheetId="8" state="visible" r:id="rId8"/>
    <sheet xmlns:r="http://schemas.openxmlformats.org/officeDocument/2006/relationships" name="Трансформер" sheetId="9" state="visible" r:id="rId9"/>
    <sheet xmlns:r="http://schemas.openxmlformats.org/officeDocument/2006/relationships" name="Алагеум" sheetId="10" state="visible" r:id="rId10"/>
    <sheet xmlns:r="http://schemas.openxmlformats.org/officeDocument/2006/relationships" name="Списки" sheetId="11" state="hidden" r:id="rId11"/>
    <sheet xmlns:r="http://schemas.openxmlformats.org/officeDocument/2006/relationships" name="Габариты" sheetId="12" state="visible" r:id="rId12"/>
    <sheet xmlns:r="http://schemas.openxmlformats.org/officeDocument/2006/relationships" name="Приказ на работу" sheetId="13" state="visible" r:id="rId13"/>
    <sheet xmlns:r="http://schemas.openxmlformats.org/officeDocument/2006/relationships" name="Чек-лист ОТК" sheetId="14" state="visible" r:id="rId14"/>
  </sheets>
  <definedNames>
    <definedName name="ManufacturerList">'Списки'!$A$2:$A$7</definedName>
    <definedName name="Алттранс">'Списки'!$B$2:$B$13</definedName>
    <definedName name="СВЭЛ">'Списки'!$C$2:$C$13</definedName>
    <definedName name="МЭТЗ">'Списки'!$D$2:$D$13</definedName>
    <definedName name="Электрощит">'Списки'!$E$2:$E$12</definedName>
    <definedName name="Трансформер">'Списки'!$F$2:$F$7</definedName>
    <definedName name="Алагеум">'Списки'!$G$2:$G$21</definedName>
    <definedName name="empty_list">'Списки'!$H$2:$H$2</definedName>
    <definedName name="steel_type">'Списки'!$I$2:$I$3</definedName>
    <definedName name="steel_thickness">'Списки'!$J$2:$J$5</definedName>
    <definedName name="channel_size">'Списки'!$K$2:$K$13</definedName>
    <definedName name="ral_colors">'Списки'!$L$2:$L$10</definedName>
    <definedName name="grid_company">'Списки'!$M$2:$M$6</definedName>
    <definedName name="manuf_pvr">'Списки'!$N$2:$N$6</definedName>
    <definedName name="manuf_re">'Списки'!$O$2:$O$5</definedName>
    <definedName name="manuf_rps">'Списки'!$P$2:$P$4</definedName>
    <definedName name="manuf_av">'Списки'!$Q$2:$Q$7</definedName>
    <definedName name="yn">'Списки'!$R$2:$R$3</definedName>
    <definedName name="ruvn_type">'Списки'!$S$2:$S$4</definedName>
    <definedName name="ruvn_switch">'Списки'!$T$2:$T$4</definedName>
    <definedName name="ruvn_nom">'Списки'!$U$2:$U$4</definedName>
    <definedName name="volt">'Списки'!$V$2:$V$3</definedName>
    <definedName name="fuse">'Списки'!$W$2:$W$5</definedName>
    <definedName name="fuse_nom">'Списки'!$X$2:$X$16</definedName>
    <definedName name="cable">'Списки'!$Y$2:$Y$3</definedName>
    <definedName name="pvr">'Списки'!$Z$2:$Z$8</definedName>
    <definedName name="tt">'Списки'!$AA$2:$AA$13</definedName>
    <definedName name="av_nom">'Списки'!$AB$2:$AB$21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4155"/>
      <sz val="11"/>
    </font>
    <font>
      <name val="Segoe UI"/>
      <b val="1"/>
      <color rgb="00FFFFFF"/>
      <sz val="16"/>
    </font>
    <font>
      <name val="Segoe UI"/>
      <b val="1"/>
      <color rgb="000F172A"/>
      <sz val="11"/>
    </font>
    <font>
      <name val="Segoe UI"/>
      <b val="1"/>
      <color rgb="00333333"/>
      <sz val="10"/>
    </font>
    <font>
      <name val="Segoe UI"/>
      <b val="1"/>
      <color rgb="002F5597"/>
      <sz val="12"/>
    </font>
    <font>
      <name val="Segoe UI"/>
      <b val="1"/>
      <sz val="11"/>
    </font>
    <font>
      <name val="Segoe UI"/>
      <b val="1"/>
      <color rgb="001D4ED8"/>
      <sz val="11"/>
    </font>
    <font>
      <name val="Segoe UI"/>
      <b val="1"/>
      <color rgb="001F4E78"/>
      <sz val="14"/>
    </font>
    <font>
      <name val="Segoe UI"/>
      <b val="1"/>
      <sz val="10"/>
    </font>
    <font>
      <name val="Segoe UI"/>
      <b val="1"/>
      <color rgb="00000000"/>
      <sz val="14"/>
    </font>
    <font>
      <name val="Segoe UI"/>
      <color rgb="00000000"/>
      <sz val="12"/>
    </font>
    <font>
      <name val="Segoe UI"/>
      <i val="1"/>
      <sz val="10"/>
    </font>
    <font>
      <name val="Segoe UI"/>
      <b val="1"/>
      <sz val="16"/>
    </font>
    <font>
      <name val="Segoe UI"/>
      <i val="1"/>
      <color rgb="00555555"/>
      <sz val="10"/>
    </font>
    <font>
      <name val="Segoe UI"/>
      <b val="1"/>
      <color rgb="001F4E78"/>
      <sz val="18"/>
    </font>
    <font>
      <name val="Segoe UI"/>
      <color rgb="002563EB"/>
      <sz val="14"/>
      <u val="single"/>
    </font>
  </fonts>
  <fills count="9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9FBFD"/>
        <bgColor rgb="00F9FBFD"/>
      </patternFill>
    </fill>
    <fill>
      <patternFill patternType="solid">
        <fgColor rgb="00FEF08A"/>
        <bgColor rgb="00FEF08A"/>
      </patternFill>
    </fill>
    <fill>
      <patternFill patternType="solid">
        <fgColor rgb="00DDEBF7"/>
        <bgColor rgb="00DDEBF7"/>
      </patternFill>
    </fill>
    <fill>
      <patternFill patternType="solid">
        <fgColor rgb="00E2EFDA"/>
        <bgColor rgb="00E2EFDA"/>
      </patternFill>
    </fill>
    <fill>
      <patternFill patternType="solid">
        <fgColor rgb="00F3F4F6"/>
        <bgColor rgb="00F3F4F6"/>
      </patternFill>
    </fill>
    <fill>
      <patternFill patternType="solid">
        <fgColor rgb="00E2E8F0"/>
        <bgColor rgb="00E2E8F0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4" borderId="1" pivotButton="0" quotePrefix="0" xfId="0"/>
    <xf numFmtId="0" fontId="5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5" borderId="0" pivotButton="0" quotePrefix="0" xfId="0"/>
    <xf numFmtId="0" fontId="2" fillId="0" borderId="0" pivotButton="0" quotePrefix="0" xfId="0"/>
    <xf numFmtId="0" fontId="4" fillId="4" borderId="1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 wrapText="1"/>
    </xf>
    <xf numFmtId="0" fontId="8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3" fontId="2" fillId="0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3" fontId="9" fillId="6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" fillId="2" borderId="0" pivotButton="0" quotePrefix="0" xfId="0"/>
    <xf numFmtId="0" fontId="2" fillId="3" borderId="1" pivotButton="0" quotePrefix="0" xfId="0"/>
    <xf numFmtId="0" fontId="2" fillId="0" borderId="1" pivotButton="0" quotePrefix="0" xfId="0"/>
    <xf numFmtId="0" fontId="1" fillId="2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wrapText="1"/>
    </xf>
    <xf numFmtId="0" fontId="11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right"/>
    </xf>
    <xf numFmtId="0" fontId="4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4" fillId="0" borderId="0" applyAlignment="1" pivotButton="0" quotePrefix="0" xfId="0">
      <alignment horizontal="center"/>
    </xf>
    <xf numFmtId="0" fontId="4" fillId="0" borderId="2" pivotButton="0" quotePrefix="0" xfId="0"/>
    <xf numFmtId="0" fontId="4" fillId="8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ont>
        <i val="1"/>
        <color rgb="0094A3B8"/>
      </font>
      <fill>
        <patternFill patternType="solid">
          <fgColor rgb="00E2E8F0"/>
          <bgColor rgb="00E2E8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1056;&#1072;&#1089;&#1095;&#1077;&#1090; &#1050;&#1058;&#1055;&#1053;'!A1" TargetMode="External" Id="rId1"/><Relationship Type="http://schemas.openxmlformats.org/officeDocument/2006/relationships/hyperlink" Target="#'&#1043;&#1072;&#1073;&#1072;&#1088;&#1080;&#1090;&#1099;'!A1" TargetMode="External" Id="rId2"/><Relationship Type="http://schemas.openxmlformats.org/officeDocument/2006/relationships/hyperlink" Target="#'&#1055;&#1088;&#1080;&#1082;&#1072;&#1079; &#1085;&#1072; &#1088;&#1072;&#1073;&#1086;&#1090;&#1091;'!A1" TargetMode="External" Id="rId3"/><Relationship Type="http://schemas.openxmlformats.org/officeDocument/2006/relationships/hyperlink" Target="#'&#1063;&#1077;&#1082;-&#1083;&#1080;&#1089;&#1090; &#1054;&#1058;&#1050;'!A1" TargetMode="External" Id="rId4"/><Relationship Type="http://schemas.openxmlformats.org/officeDocument/2006/relationships/hyperlink" Target="#'&#1041;&#1044;_&#1040;&#1087;&#1087;&#1072;&#1088;&#1072;&#1090;&#1099;_&#1056;&#1059;&#1053;&#1053;'!A1" TargetMode="External" Id="rId5"/><Relationship Type="http://schemas.openxmlformats.org/officeDocument/2006/relationships/hyperlink" Target="#'&#1041;&#1044;_&#1058;&#1088;&#1072;&#1085;&#1089;&#1092;&#1086;&#1088;&#1084;&#1072;&#1090;&#1086;&#1088;&#1099;'!A1" TargetMode="External" Id="rId6"/><Relationship Type="http://schemas.openxmlformats.org/officeDocument/2006/relationships/hyperlink" Target="#'&#1040;&#1083;&#1090;&#1090;&#1088;&#1072;&#1085;&#1089;'!A1" TargetMode="External" Id="rId7"/><Relationship Type="http://schemas.openxmlformats.org/officeDocument/2006/relationships/hyperlink" Target="#'&#1057;&#1042;&#1069;&#1051;'!A1" TargetMode="External" Id="rId8"/><Relationship Type="http://schemas.openxmlformats.org/officeDocument/2006/relationships/hyperlink" Target="#'&#1052;&#1069;&#1058;&#1047;'!A1" TargetMode="External" Id="rId9"/><Relationship Type="http://schemas.openxmlformats.org/officeDocument/2006/relationships/hyperlink" Target="#'&#1069;&#1083;&#1077;&#1082;&#1090;&#1088;&#1086;&#1097;&#1080;&#1090;'!A1" TargetMode="External" Id="rId10"/><Relationship Type="http://schemas.openxmlformats.org/officeDocument/2006/relationships/hyperlink" Target="#'&#1058;&#1088;&#1072;&#1085;&#1089;&#1092;&#1086;&#1088;&#1084;&#1077;&#1088;'!A1" TargetMode="External" Id="rId11"/><Relationship Type="http://schemas.openxmlformats.org/officeDocument/2006/relationships/hyperlink" Target="#'&#1040;&#1083;&#1072;&#1075;&#1077;&#1091;&#1084;'!A1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5"/>
  <sheetViews>
    <sheetView workbookViewId="0">
      <selection activeCell="A1" sqref="A1"/>
    </sheetView>
  </sheetViews>
  <sheetFormatPr baseColWidth="8" defaultRowHeight="15"/>
  <cols>
    <col width="60" customWidth="1" min="2" max="2"/>
  </cols>
  <sheetData>
    <row r="2">
      <c r="B2" s="1" t="inlineStr">
        <is>
          <t>⚡ ГЛАВНОЕ МЕНЮ: КТПН КОНФИГУРАТОР</t>
        </is>
      </c>
    </row>
    <row r="4" ht="30" customHeight="1">
      <c r="B4" s="2" t="inlineStr">
        <is>
          <t>📊 ИНТЕРАКТИВНЫЙ РАСЧЕТ И ПРОВЕРКА</t>
        </is>
      </c>
    </row>
    <row r="5" ht="30" customHeight="1">
      <c r="B5" s="2" t="inlineStr">
        <is>
          <t>📐 ГАБАРИТЫ И МЕТАЛЛОКОНСТРУКЦИЯ</t>
        </is>
      </c>
    </row>
    <row r="6" ht="30" customHeight="1">
      <c r="B6" s="2" t="inlineStr">
        <is>
          <t>🏭 ПРИКАЗ НА ПРОИЗВОДСТВО</t>
        </is>
      </c>
    </row>
    <row r="7" ht="30" customHeight="1">
      <c r="B7" s="2" t="inlineStr">
        <is>
          <t>📋 ЧЕК-ЛИСТ ОТК</t>
        </is>
      </c>
    </row>
    <row r="8" ht="30" customHeight="1">
      <c r="B8" s="2" t="inlineStr">
        <is>
          <t>⚙️ БД Аппаратов РУНН (АВ, РЕ, ПВР)</t>
        </is>
      </c>
    </row>
    <row r="9" ht="30" customHeight="1">
      <c r="B9" s="2" t="inlineStr">
        <is>
          <t>📖 Справочник Трансформаторов (Сводный)</t>
        </is>
      </c>
    </row>
    <row r="10" ht="30" customHeight="1">
      <c r="B10" s="2" t="inlineStr">
        <is>
          <t>📖 Справочник (Алттранс)</t>
        </is>
      </c>
    </row>
    <row r="11" ht="30" customHeight="1">
      <c r="B11" s="2" t="inlineStr">
        <is>
          <t>📖 Справочник (СВЭЛ)</t>
        </is>
      </c>
    </row>
    <row r="12" ht="30" customHeight="1">
      <c r="B12" s="2" t="inlineStr">
        <is>
          <t>📖 Справочник (МЭТЗ)</t>
        </is>
      </c>
    </row>
    <row r="13" ht="30" customHeight="1">
      <c r="B13" s="2" t="inlineStr">
        <is>
          <t>📖 Справочник (Электрощит)</t>
        </is>
      </c>
    </row>
    <row r="14" ht="30" customHeight="1">
      <c r="B14" s="2" t="inlineStr">
        <is>
          <t>📖 Справочник (Трансформер)</t>
        </is>
      </c>
    </row>
    <row r="15" ht="30" customHeight="1">
      <c r="B15" s="2" t="inlineStr">
        <is>
          <t>📖 Справочник (Алагеум / КТЗ)</t>
        </is>
      </c>
    </row>
  </sheetData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30" customWidth="1" min="3" max="3"/>
    <col width="30" customWidth="1" min="4" max="4"/>
  </cols>
  <sheetData>
    <row r="1" ht="40" customHeight="1">
      <c r="A1" s="3" t="inlineStr">
        <is>
          <t>ИНТЕРАКТИВНЫЙ РАСЧЕТ ГАБАРИТОВ И КОМПОНОВКА КТПН</t>
        </is>
      </c>
    </row>
    <row r="3">
      <c r="A3" s="4" t="inlineStr">
        <is>
          <t>Сетевая компания:</t>
        </is>
      </c>
      <c r="B3" s="5" t="inlineStr">
        <is>
          <t>Россети</t>
        </is>
      </c>
    </row>
    <row r="4">
      <c r="A4" s="4" t="inlineStr">
        <is>
          <t>Производитель:</t>
        </is>
      </c>
      <c r="B4" s="5" t="inlineStr">
        <is>
          <t>Алагеум</t>
        </is>
      </c>
    </row>
    <row r="5">
      <c r="A5" s="4" t="inlineStr">
        <is>
          <t>Марка трансформатора:</t>
        </is>
      </c>
      <c r="B5" s="5" t="inlineStr">
        <is>
          <t>ТМГ-400 (Алагеум)</t>
        </is>
      </c>
    </row>
    <row r="7">
      <c r="A7" s="6" t="inlineStr">
        <is>
          <t>Производитель</t>
        </is>
      </c>
      <c r="B7" s="6" t="inlineStr">
        <is>
          <t>Длина TMG</t>
        </is>
      </c>
      <c r="C7" s="6" t="inlineStr">
        <is>
          <t>Ширина TMG</t>
        </is>
      </c>
      <c r="D7" s="6" t="inlineStr">
        <is>
          <t>Высота TMG</t>
        </is>
      </c>
      <c r="E7" s="6" t="inlineStr">
        <is>
          <t>Масса TMG</t>
        </is>
      </c>
      <c r="F7" s="6" t="inlineStr">
        <is>
          <t>Ток НН (А)</t>
        </is>
      </c>
    </row>
    <row r="8">
      <c r="A8" s="7">
        <f>IFERROR(VLOOKUP(B5, БД_Трансформаторы!$A$2:$K$200, 2, FALSE), 0)</f>
        <v/>
      </c>
      <c r="B8" s="7">
        <f>IFERROR(VLOOKUP(B5, БД_Трансформаторы!$A$2:$K$200, 4, FALSE), 0)</f>
        <v/>
      </c>
      <c r="C8" s="7">
        <f>IFERROR(VLOOKUP(B5, БД_Трансформаторы!$A$2:$K$200, 5, FALSE), 0)</f>
        <v/>
      </c>
      <c r="D8" s="7">
        <f>IFERROR(VLOOKUP(B5, БД_Трансформаторы!$A$2:$K$200, 6, FALSE), 0)</f>
        <v/>
      </c>
      <c r="E8" s="7">
        <f>IFERROR(VLOOKUP(B5, БД_Трансформаторы!$A$2:$K$200, 7, FALSE), 0)</f>
        <v/>
      </c>
      <c r="F8" s="7">
        <f>IFERROR(VLOOKUP(B5, БД_Трансформаторы!$A$2:$K$200, 8, FALSE), 0)</f>
        <v/>
      </c>
    </row>
    <row r="10">
      <c r="A10" s="8" t="inlineStr">
        <is>
          <t>--- Конструктив корпуса ---</t>
        </is>
      </c>
    </row>
    <row r="11">
      <c r="A11" s="9" t="inlineStr">
        <is>
          <t>Тип стали корпуса:</t>
        </is>
      </c>
      <c r="B11" s="10" t="inlineStr">
        <is>
          <t>Холоднокатаная (х.к.)</t>
        </is>
      </c>
      <c r="C11" s="9" t="inlineStr">
        <is>
          <t>Толщина корпуса (мм):</t>
        </is>
      </c>
      <c r="D11" s="10" t="inlineStr">
        <is>
          <t>2.0</t>
        </is>
      </c>
    </row>
    <row r="12">
      <c r="A12" s="9" t="inlineStr">
        <is>
          <t>Основание (Швеллер №):</t>
        </is>
      </c>
      <c r="B12" s="10" t="inlineStr">
        <is>
          <t>10П</t>
        </is>
      </c>
    </row>
    <row r="13">
      <c r="A13" s="9" t="inlineStr">
        <is>
          <t>Цвет корпуса (RAL):</t>
        </is>
      </c>
      <c r="B13" s="10" t="inlineStr">
        <is>
          <t>RAL 7035 (Светло-серый)</t>
        </is>
      </c>
      <c r="C13" s="9" t="inlineStr">
        <is>
          <t>Цвет дверей (RAL):</t>
        </is>
      </c>
      <c r="D13" s="10" t="inlineStr">
        <is>
          <t>RAL 7040 (Серый окованный)</t>
        </is>
      </c>
    </row>
    <row r="15">
      <c r="A15" s="8" t="inlineStr">
        <is>
          <t>--- Габаритные настройки отсеков ---</t>
        </is>
      </c>
    </row>
    <row r="16">
      <c r="A16" s="9" t="inlineStr">
        <is>
          <t>Длина РУВН (мм):</t>
        </is>
      </c>
      <c r="B16" s="11" t="n">
        <v>1300</v>
      </c>
    </row>
    <row r="17">
      <c r="A17" s="9" t="inlineStr">
        <is>
          <t>Длина РУНН (мм):</t>
        </is>
      </c>
      <c r="B17" s="11" t="n">
        <v>600</v>
      </c>
    </row>
    <row r="18">
      <c r="A18" s="9" t="inlineStr">
        <is>
          <t>Допуск на отсек ТР (мм):</t>
        </is>
      </c>
      <c r="B18" s="11" t="n">
        <v>300</v>
      </c>
    </row>
    <row r="19">
      <c r="A19" s="9" t="inlineStr">
        <is>
          <t>Буфер по длине КТПН (мм):</t>
        </is>
      </c>
      <c r="B19" s="11" t="n">
        <v>10</v>
      </c>
    </row>
    <row r="21">
      <c r="A21" s="8" t="inlineStr">
        <is>
          <t>--- Ввод РУВН ---</t>
        </is>
      </c>
    </row>
    <row r="22">
      <c r="A22" s="9" t="inlineStr">
        <is>
          <t>Напряжение РУВН:</t>
        </is>
      </c>
      <c r="B22" s="11" t="inlineStr">
        <is>
          <t>10 кВ</t>
        </is>
      </c>
    </row>
    <row r="23">
      <c r="A23" s="9" t="inlineStr">
        <is>
          <t>Отсек РУВН:</t>
        </is>
      </c>
      <c r="B23" s="11" t="inlineStr">
        <is>
          <t>Тупиковая</t>
        </is>
      </c>
    </row>
    <row r="24">
      <c r="A24" s="9" t="inlineStr">
        <is>
          <t>Разъединитель РУВН:</t>
        </is>
      </c>
      <c r="B24" s="11" t="inlineStr">
        <is>
          <t>ВНА</t>
        </is>
      </c>
      <c r="C24" s="9" t="inlineStr">
        <is>
          <t>Ном-л РУВН (А):</t>
        </is>
      </c>
      <c r="D24" s="11" t="inlineStr">
        <is>
          <t>630</t>
        </is>
      </c>
    </row>
    <row r="25">
      <c r="A25" s="9" t="inlineStr">
        <is>
          <t>Предохранитель ПКТ:</t>
        </is>
      </c>
      <c r="B25" s="11" t="inlineStr">
        <is>
          <t>ПКТ-101</t>
        </is>
      </c>
      <c r="C25" s="9" t="inlineStr">
        <is>
          <t>Ном-л ПКТ:</t>
        </is>
      </c>
      <c r="D25" s="11" t="inlineStr">
        <is>
          <t>31.5А</t>
        </is>
      </c>
    </row>
    <row r="26">
      <c r="A26" s="9" t="inlineStr">
        <is>
          <t>Исполнение ввода:</t>
        </is>
      </c>
      <c r="B26" s="11" t="inlineStr">
        <is>
          <t>Кабельный</t>
        </is>
      </c>
    </row>
    <row r="27">
      <c r="A27" s="9" t="inlineStr">
        <is>
          <t>Установка ОПН (РУВН):</t>
        </is>
      </c>
      <c r="B27" s="11" t="inlineStr">
        <is>
          <t>Да</t>
        </is>
      </c>
    </row>
    <row r="28">
      <c r="A28" s="8" t="inlineStr">
        <is>
          <t>--- Ввод РУНН ---</t>
        </is>
      </c>
    </row>
    <row r="29">
      <c r="A29" s="9" t="inlineStr">
        <is>
          <t>Вводной ПВР (NH):</t>
        </is>
      </c>
      <c r="B29" s="11" t="inlineStr">
        <is>
          <t>Да</t>
        </is>
      </c>
      <c r="C29" s="9" t="inlineStr">
        <is>
          <t>Номинал ПВР (А):</t>
        </is>
      </c>
      <c r="D29" s="11" t="inlineStr">
        <is>
          <t>630</t>
        </is>
      </c>
    </row>
    <row r="30">
      <c r="A30" s="9" t="inlineStr">
        <is>
          <t>Производитель ПВР:</t>
        </is>
      </c>
      <c r="B30" s="11" t="inlineStr">
        <is>
          <t>CHINT</t>
        </is>
      </c>
    </row>
    <row r="31">
      <c r="A31" s="9" t="inlineStr">
        <is>
          <t>Вводной рубильник (РЕ):</t>
        </is>
      </c>
      <c r="B31" s="11" t="inlineStr">
        <is>
          <t>Нет</t>
        </is>
      </c>
      <c r="C31" s="9" t="inlineStr">
        <is>
          <t>Номинал РЕ (А):</t>
        </is>
      </c>
      <c r="D31" s="11" t="inlineStr">
        <is>
          <t>630</t>
        </is>
      </c>
    </row>
    <row r="32">
      <c r="A32" s="9" t="inlineStr">
        <is>
          <t>Производитель РЕ:</t>
        </is>
      </c>
      <c r="B32" s="11" t="inlineStr">
        <is>
          <t>КЭАЗ</t>
        </is>
      </c>
    </row>
    <row r="33">
      <c r="A33" s="9" t="inlineStr">
        <is>
          <t>Вводной АВ:</t>
        </is>
      </c>
      <c r="B33" s="11" t="inlineStr">
        <is>
          <t>Нет</t>
        </is>
      </c>
      <c r="C33" s="9" t="inlineStr">
        <is>
          <t>Номинал АВ (А):</t>
        </is>
      </c>
      <c r="D33" s="11" t="inlineStr">
        <is>
          <t>630</t>
        </is>
      </c>
    </row>
    <row r="34">
      <c r="A34" s="9" t="inlineStr">
        <is>
          <t>Производитель АВ:</t>
        </is>
      </c>
      <c r="B34" s="11" t="inlineStr">
        <is>
          <t>Контактор</t>
        </is>
      </c>
    </row>
    <row r="35">
      <c r="A35" s="9" t="inlineStr">
        <is>
          <t>Установка ОПН (РУНН):</t>
        </is>
      </c>
      <c r="B35" s="11" t="inlineStr">
        <is>
          <t>Да</t>
        </is>
      </c>
    </row>
    <row r="36">
      <c r="A36" s="9" t="inlineStr">
        <is>
          <t>Наличие ТТ на вводе:</t>
        </is>
      </c>
      <c r="B36" s="11" t="inlineStr">
        <is>
          <t>Да</t>
        </is>
      </c>
      <c r="C36" s="9" t="inlineStr">
        <is>
          <t>Номинал ТТ:</t>
        </is>
      </c>
      <c r="D36" s="11" t="inlineStr">
        <is>
          <t>600/5</t>
        </is>
      </c>
    </row>
    <row r="37">
      <c r="A37" s="9" t="inlineStr">
        <is>
          <t>Доп. комплект ТТ (КИП):</t>
        </is>
      </c>
      <c r="B37" s="11" t="inlineStr">
        <is>
          <t>Нет</t>
        </is>
      </c>
      <c r="C37" s="9" t="inlineStr">
        <is>
          <t>Номинал ТТ КИП:</t>
        </is>
      </c>
      <c r="D37" s="11" t="inlineStr">
        <is>
          <t>600/5</t>
        </is>
      </c>
    </row>
    <row r="38">
      <c r="A38" s="9" t="inlineStr">
        <is>
          <t>Наличие счетчика на вводе:</t>
        </is>
      </c>
      <c r="B38" s="11" t="inlineStr">
        <is>
          <t>Да</t>
        </is>
      </c>
    </row>
    <row r="39">
      <c r="A39" s="8" t="inlineStr">
        <is>
          <t>--- Отходящие линии РУНН ---</t>
        </is>
      </c>
    </row>
    <row r="40">
      <c r="A40" s="9" t="inlineStr">
        <is>
          <t>Установка Автоматов (АВ):</t>
        </is>
      </c>
      <c r="B40" s="11" t="inlineStr">
        <is>
          <t>Да</t>
        </is>
      </c>
      <c r="C40" s="9" t="inlineStr">
        <is>
          <t>Кол-во АВ (шт):</t>
        </is>
      </c>
      <c r="D40" s="11" t="n">
        <v>2</v>
      </c>
    </row>
    <row r="41">
      <c r="A41" s="9" t="inlineStr">
        <is>
          <t>Бренд отходящих АВ:</t>
        </is>
      </c>
      <c r="B41" s="11" t="inlineStr">
        <is>
          <t>IEK</t>
        </is>
      </c>
    </row>
    <row r="42">
      <c r="A42" s="9" t="inlineStr">
        <is>
          <t>Установка РПС:</t>
        </is>
      </c>
      <c r="B42" s="11" t="inlineStr">
        <is>
          <t>Нет</t>
        </is>
      </c>
      <c r="C42" s="9" t="inlineStr">
        <is>
          <t>Кол-во РПС (шт):</t>
        </is>
      </c>
      <c r="D42" s="11" t="n">
        <v>0</v>
      </c>
    </row>
    <row r="43">
      <c r="A43" s="9" t="inlineStr">
        <is>
          <t>Бренд отходящих РПС:</t>
        </is>
      </c>
      <c r="B43" s="11" t="inlineStr">
        <is>
          <t>CHINT</t>
        </is>
      </c>
    </row>
    <row r="44">
      <c r="A44" s="9" t="inlineStr">
        <is>
          <t>Исполнение вывода:</t>
        </is>
      </c>
      <c r="B44" s="11" t="inlineStr">
        <is>
          <t>Кабельный</t>
        </is>
      </c>
    </row>
    <row r="46" ht="30" customHeight="1">
      <c r="A46" s="12">
        <f>IF(IF(B29="Да",VALUE(D29),0)&gt;=F8,"✅ ПРОВЕРКА ПРОЙДЕНА: Номинал вводного устройства достаточен для мощности ТМГ",IF(IF(B31="Да",VALUE(D31),0)&gt;=F8,"✅ ПРОВЕРКА ПРОЙДЕНА: Номинал вводного устройства достаточен для мощности ТМГ",IF(IF(B33="Да",VALUE(D33),0)&gt;=F8,"✅ ПРОВЕРКА ПРОЙДЕНА: Номинал вводного устройства достаточен для мощности ТМГ","🛑 ОШИБКА ПРОЕКТИРОВАНИЯ: Номинал ввода меньше номинального тока трансформатора!")))</f>
        <v/>
      </c>
    </row>
    <row r="48">
      <c r="A48" s="13" t="inlineStr">
        <is>
          <t>РЕКОМЕНДУЕМЫЕ СЕЧЕНИЯ ШИН (Алюминий АД31Т)</t>
        </is>
      </c>
    </row>
    <row r="49">
      <c r="A49" s="14" t="inlineStr">
        <is>
          <t>РУВН (6-10 кВ):</t>
        </is>
      </c>
      <c r="B49" s="15">
        <f>IFERROR(VLOOKUP(B5, БД_Трансформаторы!$A$2:$K$200, 9, FALSE), "-")</f>
        <v/>
      </c>
      <c r="C49" s="14" t="inlineStr">
        <is>
          <t>РУНН (Ввод 0.4 кВ):</t>
        </is>
      </c>
      <c r="D49" s="15">
        <f>IFERROR(VLOOKUP(B5, БД_Трансформаторы!$A$2:$K$200, 10, FALSE), "-")</f>
        <v/>
      </c>
    </row>
    <row r="50">
      <c r="A50" s="14" t="inlineStr">
        <is>
          <t>Шина PE/PEN:</t>
        </is>
      </c>
      <c r="B50" s="15">
        <f>IFERROR(VLOOKUP(B5, БД_Трансформаторы!$A$2:$K$200, 11, FALSE), "-")</f>
        <v/>
      </c>
    </row>
    <row r="52">
      <c r="A52" s="13" t="inlineStr">
        <is>
          <t>ГАБАРИТЫ И МАССА КТПН</t>
        </is>
      </c>
    </row>
    <row r="53">
      <c r="A53" s="6" t="inlineStr">
        <is>
          <t>Параметр</t>
        </is>
      </c>
      <c r="B53" s="6" t="inlineStr">
        <is>
          <t>Расчет системы</t>
        </is>
      </c>
      <c r="C53" s="6" t="inlineStr">
        <is>
          <t>Ручной ввод (свои габариты)</t>
        </is>
      </c>
      <c r="D53" s="6" t="inlineStr">
        <is>
          <t>ИТОГО К ПРОИЗВОДСТВУ</t>
        </is>
      </c>
    </row>
    <row r="54" ht="25" customHeight="1">
      <c r="A54" s="16" t="inlineStr">
        <is>
          <t>Длина КТПН (мм):</t>
        </is>
      </c>
      <c r="B54" s="17">
        <f>IF((IF($B$23="Нет", 0, B16) + B8 + B17 + B19)&lt;=2000, 2000, IF((IF($B$23="Нет", 0, B16) + B8 + B17 + B19)&lt;=3000, 3000, IF((IF($B$23="Нет", 0, B16) + B8 + B17 + B19)&lt;=3500, 3500, (IF($B$23="Нет", 0, B16) + B8 + B17 + B19))))</f>
        <v/>
      </c>
      <c r="C54" s="18" t="n"/>
      <c r="D54" s="19">
        <f>IF(ISNUMBER(C54), IF(C54=0, 0, IF(C54&lt;1800, 1800, C54)), B54)</f>
        <v/>
      </c>
    </row>
    <row r="55" ht="25" customHeight="1">
      <c r="A55" s="16" t="inlineStr">
        <is>
          <t>Ширина КТПН (мм):</t>
        </is>
      </c>
      <c r="B55" s="17">
        <f>IF($B$23="Проходная", 2420, MAX(IF(OR(IF($B$40="Да",$D$40,0)&gt;8, IF($B$42="Да",$D$42,0)&gt;4), 2420, 2000), C8+B18))</f>
        <v/>
      </c>
      <c r="C55" s="18" t="n"/>
      <c r="D55" s="19">
        <f>IF(ISNUMBER(C55), IF(C55=0, 0, IF(C55&lt;1800, 1800, C55)), B55)</f>
        <v/>
      </c>
    </row>
    <row r="56" ht="25" customHeight="1">
      <c r="A56" s="16" t="inlineStr">
        <is>
          <t>Высота КТПН (мм):</t>
        </is>
      </c>
      <c r="B56" s="17">
        <f>IF(D8&gt;=1800, 2400, 2250)</f>
        <v/>
      </c>
      <c r="C56" s="18" t="n"/>
      <c r="D56" s="19">
        <f>IF(ISNUMBER(C56), C56, B56)</f>
        <v/>
      </c>
    </row>
    <row r="57" ht="25" customHeight="1">
      <c r="A57" s="16" t="inlineStr">
        <is>
          <t>Масса основания (кг):</t>
        </is>
      </c>
      <c r="B57" s="17">
        <f>ROUND((((D54*2 + D55*4)/1000) * VLOOKUP(B12&amp;"", Списки!$AA$2:$AB$13, 2, FALSE) * 1.15) + ((D54*D55/1000000)*35), 0)</f>
        <v/>
      </c>
      <c r="C57" s="18" t="n"/>
      <c r="D57" s="19">
        <f>IF(ISNUMBER(C57), C57, B57)</f>
        <v/>
      </c>
    </row>
    <row r="58" ht="25" customHeight="1">
      <c r="A58" s="16" t="inlineStr">
        <is>
          <t>Масса корпуса (кг):</t>
        </is>
      </c>
      <c r="B58" s="17">
        <f>ROUND(((((D54+D55)*2*D56/1000000) + (D54*D55/1000000)) * VLOOKUP(D11&amp;"", Списки!$Y$2:$Z$5, 2, FALSE)) * 1.25, 0)</f>
        <v/>
      </c>
      <c r="C58" s="18" t="n"/>
      <c r="D58" s="19">
        <f>IF(ISNUMBER(C58), C58, B58)</f>
        <v/>
      </c>
    </row>
    <row r="59" ht="25" customHeight="1">
      <c r="A59" s="16" t="inlineStr">
        <is>
          <t>Масса Брутто (кг):</t>
        </is>
      </c>
      <c r="B59" s="17">
        <f>E8 + D57 + D58</f>
        <v/>
      </c>
      <c r="C59" s="20" t="n"/>
      <c r="D59" s="19">
        <f>IF(ISNUMBER(C59), C59, E8 + D57 + D58)</f>
        <v/>
      </c>
    </row>
  </sheetData>
  <mergeCells count="9">
    <mergeCell ref="A1:D1"/>
    <mergeCell ref="A48:D48"/>
    <mergeCell ref="A21:D21"/>
    <mergeCell ref="A39:D39"/>
    <mergeCell ref="A15:D15"/>
    <mergeCell ref="A52:D52"/>
    <mergeCell ref="A10:D10"/>
    <mergeCell ref="A28:D28"/>
    <mergeCell ref="A46:D46"/>
  </mergeCells>
  <conditionalFormatting sqref="B16">
    <cfRule type="expression" priority="1" dxfId="0" stopIfTrue="1">
      <formula>$B$23="Нет"</formula>
    </cfRule>
  </conditionalFormatting>
  <conditionalFormatting sqref="D29">
    <cfRule type="expression" priority="2" dxfId="0" stopIfTrue="1">
      <formula>$B$29="Нет"</formula>
    </cfRule>
  </conditionalFormatting>
  <conditionalFormatting sqref="B30">
    <cfRule type="expression" priority="3" dxfId="0" stopIfTrue="1">
      <formula>$B$29="Нет"</formula>
    </cfRule>
  </conditionalFormatting>
  <conditionalFormatting sqref="D31">
    <cfRule type="expression" priority="4" dxfId="0" stopIfTrue="1">
      <formula>$B$31="Нет"</formula>
    </cfRule>
  </conditionalFormatting>
  <conditionalFormatting sqref="B32">
    <cfRule type="expression" priority="5" dxfId="0" stopIfTrue="1">
      <formula>$B$31="Нет"</formula>
    </cfRule>
  </conditionalFormatting>
  <conditionalFormatting sqref="D33">
    <cfRule type="expression" priority="6" dxfId="0" stopIfTrue="1">
      <formula>$B$33="Нет"</formula>
    </cfRule>
  </conditionalFormatting>
  <conditionalFormatting sqref="B34">
    <cfRule type="expression" priority="7" dxfId="0" stopIfTrue="1">
      <formula>$B$33="Нет"</formula>
    </cfRule>
  </conditionalFormatting>
  <conditionalFormatting sqref="D36">
    <cfRule type="expression" priority="8" dxfId="0" stopIfTrue="1">
      <formula>$B$36="Нет"</formula>
    </cfRule>
  </conditionalFormatting>
  <conditionalFormatting sqref="D37">
    <cfRule type="expression" priority="9" dxfId="0" stopIfTrue="1">
      <formula>$B$37="Нет"</formula>
    </cfRule>
  </conditionalFormatting>
  <conditionalFormatting sqref="D40">
    <cfRule type="expression" priority="10" dxfId="0" stopIfTrue="1">
      <formula>$B$40="Нет"</formula>
    </cfRule>
  </conditionalFormatting>
  <conditionalFormatting sqref="B41">
    <cfRule type="expression" priority="11" dxfId="0" stopIfTrue="1">
      <formula>$B$40="Нет"</formula>
    </cfRule>
  </conditionalFormatting>
  <conditionalFormatting sqref="D42">
    <cfRule type="expression" priority="12" dxfId="0" stopIfTrue="1">
      <formula>$B$42="Нет"</formula>
    </cfRule>
  </conditionalFormatting>
  <conditionalFormatting sqref="B43">
    <cfRule type="expression" priority="13" dxfId="0" stopIfTrue="1">
      <formula>$B$42="Нет"</formula>
    </cfRule>
  </conditionalFormatting>
  <dataValidations count="28">
    <dataValidation sqref="B3" showDropDown="0" showInputMessage="0" showErrorMessage="0" allowBlank="1" type="list">
      <formula1>grid_company</formula1>
    </dataValidation>
    <dataValidation sqref="B4" showDropDown="0" showInputMessage="0" showErrorMessage="0" allowBlank="1" type="list">
      <formula1>ManufacturerList</formula1>
    </dataValidation>
    <dataValidation sqref="B5" showDropDown="0" showInputMessage="0" showErrorMessage="0" allowBlank="1" type="list">
      <formula1>=INDIRECT($B$4)</formula1>
    </dataValidation>
    <dataValidation sqref="B11" showDropDown="0" showInputMessage="0" showErrorMessage="0" allowBlank="1" type="list">
      <formula1>steel_type</formula1>
    </dataValidation>
    <dataValidation sqref="D11" showDropDown="0" showInputMessage="0" showErrorMessage="0" allowBlank="1" type="list">
      <formula1>steel_thickness</formula1>
    </dataValidation>
    <dataValidation sqref="B12" showDropDown="0" showInputMessage="0" showErrorMessage="0" allowBlank="1" type="list">
      <formula1>channel_size</formula1>
    </dataValidation>
    <dataValidation sqref="B13" showDropDown="0" showInputMessage="0" showErrorMessage="0" allowBlank="1" type="list">
      <formula1>ral_colors</formula1>
    </dataValidation>
    <dataValidation sqref="D13" showDropDown="0" showInputMessage="0" showErrorMessage="0" allowBlank="1" type="list">
      <formula1>ral_colors</formula1>
    </dataValidation>
    <dataValidation sqref="B22" showDropDown="0" showInputMessage="0" showErrorMessage="0" allowBlank="1" type="list">
      <formula1>volt</formula1>
    </dataValidation>
    <dataValidation sqref="B23" showDropDown="0" showInputMessage="0" showErrorMessage="0" allowBlank="1" type="list">
      <formula1>ruvn_type</formula1>
    </dataValidation>
    <dataValidation sqref="B24" showDropDown="0" showInputMessage="0" showErrorMessage="0" allowBlank="1" type="list">
      <formula1>ruvn_switch</formula1>
    </dataValidation>
    <dataValidation sqref="D24" showDropDown="0" showInputMessage="0" showErrorMessage="0" allowBlank="1" type="list">
      <formula1>ruvn_nom</formula1>
    </dataValidation>
    <dataValidation sqref="B25" showDropDown="0" showInputMessage="0" showErrorMessage="0" allowBlank="1" type="list">
      <formula1>fuse</formula1>
    </dataValidation>
    <dataValidation sqref="D25" showDropDown="0" showInputMessage="0" showErrorMessage="0" allowBlank="1" type="list">
      <formula1>fuse_nom</formula1>
    </dataValidation>
    <dataValidation sqref="B26 B44" showDropDown="0" showInputMessage="0" showErrorMessage="0" allowBlank="1" type="list">
      <formula1>cable</formula1>
    </dataValidation>
    <dataValidation sqref="B27 B29 B31 B33 B35 B36 B37 B38 B40 B42" showDropDown="0" showInputMessage="0" showErrorMessage="0" allowBlank="1" type="list">
      <formula1>yn</formula1>
    </dataValidation>
    <dataValidation sqref="D29" showDropDown="0" showInputMessage="0" showErrorMessage="0" allowBlank="1" type="list">
      <formula1>=IF($B$29="Да", pvr, empty_list)</formula1>
    </dataValidation>
    <dataValidation sqref="B30" showDropDown="0" showInputMessage="0" showErrorMessage="0" allowBlank="1" type="list">
      <formula1>=IF($B$29="Да", manuf_pvr, empty_list)</formula1>
    </dataValidation>
    <dataValidation sqref="D31" showDropDown="0" showInputMessage="0" showErrorMessage="0" allowBlank="1" type="list">
      <formula1>=IF($B$31="Да", pvr, empty_list)</formula1>
    </dataValidation>
    <dataValidation sqref="B32" showDropDown="0" showInputMessage="0" showErrorMessage="0" allowBlank="1" type="list">
      <formula1>=IF($B$31="Да", manuf_re, empty_list)</formula1>
    </dataValidation>
    <dataValidation sqref="D33" showDropDown="0" showInputMessage="0" showErrorMessage="0" allowBlank="1" type="list">
      <formula1>=IF($B$33="Да", av_nom, empty_list)</formula1>
    </dataValidation>
    <dataValidation sqref="B34" showDropDown="0" showInputMessage="0" showErrorMessage="0" allowBlank="1" type="list">
      <formula1>=IF($B$33="Да", manuf_av, empty_list)</formula1>
    </dataValidation>
    <dataValidation sqref="D36" showDropDown="0" showInputMessage="0" showErrorMessage="0" allowBlank="1" type="list">
      <formula1>=IF($B$36="Да", tt, empty_list)</formula1>
    </dataValidation>
    <dataValidation sqref="D37" showDropDown="0" showInputMessage="0" showErrorMessage="0" allowBlank="1" type="list">
      <formula1>=IF($B$37="Да", tt, empty_list)</formula1>
    </dataValidation>
    <dataValidation sqref="D40" showDropDown="0" showInputMessage="0" showErrorMessage="0" allowBlank="1" error="Сначала выберите &quot;Да&quot;." type="custom">
      <formula1>=$B$40="Да"</formula1>
    </dataValidation>
    <dataValidation sqref="B41" showDropDown="0" showInputMessage="0" showErrorMessage="0" allowBlank="1" type="list">
      <formula1>=IF($B$40="Да", manuf_av, empty_list)</formula1>
    </dataValidation>
    <dataValidation sqref="D42" showDropDown="0" showInputMessage="0" showErrorMessage="0" allowBlank="1" error="Сначала выберите &quot;Да&quot;." type="custom">
      <formula1>=$B$42="Да"</formula1>
    </dataValidation>
    <dataValidation sqref="B43" showDropDown="0" showInputMessage="0" showErrorMessage="0" allowBlank="1" type="list">
      <formula1>=IF($B$42="Да", manuf_rps, empty_list)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8" customWidth="1" min="3" max="3"/>
    <col width="14" customWidth="1" min="4" max="4"/>
    <col width="15" customWidth="1" min="5" max="5"/>
    <col width="15" customWidth="1" min="6" max="6"/>
    <col width="14" customWidth="1" min="7" max="7"/>
    <col width="19" customWidth="1" min="8" max="8"/>
    <col width="13" customWidth="1" min="9" max="9"/>
    <col width="20" customWidth="1" min="10" max="10"/>
    <col width="15" customWidth="1" min="11" max="11"/>
  </cols>
  <sheetData>
    <row r="1">
      <c r="A1" s="21" t="inlineStr">
        <is>
          <t>Марка</t>
        </is>
      </c>
      <c r="B1" s="21" t="inlineStr">
        <is>
          <t>Производитель</t>
        </is>
      </c>
      <c r="C1" s="21" t="inlineStr">
        <is>
          <t>Мощность (кВА)</t>
        </is>
      </c>
      <c r="D1" s="21" t="inlineStr">
        <is>
          <t>Длина (мм)</t>
        </is>
      </c>
      <c r="E1" s="21" t="inlineStr">
        <is>
          <t>Ширина (мм)</t>
        </is>
      </c>
      <c r="F1" s="21" t="inlineStr">
        <is>
          <t>Высота (мм)</t>
        </is>
      </c>
      <c r="G1" s="21" t="inlineStr">
        <is>
          <t>Масса (кг)</t>
        </is>
      </c>
      <c r="H1" s="21" t="inlineStr">
        <is>
          <t>Ном. Ток НН (А)</t>
        </is>
      </c>
      <c r="I1" s="21" t="inlineStr">
        <is>
          <t>Шины РУВН</t>
        </is>
      </c>
      <c r="J1" s="21" t="inlineStr">
        <is>
          <t>Шины РУНН (ввод)</t>
        </is>
      </c>
      <c r="K1" s="21" t="inlineStr">
        <is>
          <t>Шина PE/PEN</t>
        </is>
      </c>
    </row>
    <row r="2">
      <c r="A2" s="22" t="inlineStr">
        <is>
          <t>ТМГ-25</t>
        </is>
      </c>
      <c r="B2" s="22" t="inlineStr">
        <is>
          <t>Алттранс</t>
        </is>
      </c>
      <c r="C2" s="22" t="n">
        <v>25</v>
      </c>
      <c r="D2" s="22" t="n">
        <v>780</v>
      </c>
      <c r="E2" s="22" t="n">
        <v>440</v>
      </c>
      <c r="F2" s="22" t="n">
        <v>905</v>
      </c>
      <c r="G2" s="22" t="n">
        <v>260</v>
      </c>
      <c r="H2" s="22" t="n">
        <v>36</v>
      </c>
      <c r="I2" s="22" t="inlineStr">
        <is>
          <t>50х5</t>
        </is>
      </c>
      <c r="J2" s="22" t="inlineStr">
        <is>
          <t>40х4</t>
        </is>
      </c>
      <c r="K2" s="22" t="inlineStr">
        <is>
          <t>40х4</t>
        </is>
      </c>
    </row>
    <row r="3">
      <c r="A3" s="23" t="inlineStr">
        <is>
          <t>ТМГ-40</t>
        </is>
      </c>
      <c r="B3" s="23" t="inlineStr">
        <is>
          <t>Алттранс</t>
        </is>
      </c>
      <c r="C3" s="23" t="n">
        <v>40</v>
      </c>
      <c r="D3" s="23" t="n">
        <v>830</v>
      </c>
      <c r="E3" s="23" t="n">
        <v>440</v>
      </c>
      <c r="F3" s="23" t="n">
        <v>960</v>
      </c>
      <c r="G3" s="23" t="n">
        <v>310</v>
      </c>
      <c r="H3" s="23" t="n">
        <v>57</v>
      </c>
      <c r="I3" s="23" t="inlineStr">
        <is>
          <t>50х5</t>
        </is>
      </c>
      <c r="J3" s="23" t="inlineStr">
        <is>
          <t>40х4</t>
        </is>
      </c>
      <c r="K3" s="23" t="inlineStr">
        <is>
          <t>40х4</t>
        </is>
      </c>
    </row>
    <row r="4">
      <c r="A4" s="22" t="inlineStr">
        <is>
          <t>ТМГ-63</t>
        </is>
      </c>
      <c r="B4" s="22" t="inlineStr">
        <is>
          <t>Алттранс</t>
        </is>
      </c>
      <c r="C4" s="22" t="n">
        <v>63</v>
      </c>
      <c r="D4" s="22" t="n">
        <v>810</v>
      </c>
      <c r="E4" s="22" t="n">
        <v>575</v>
      </c>
      <c r="F4" s="22" t="n">
        <v>925</v>
      </c>
      <c r="G4" s="22" t="n">
        <v>380</v>
      </c>
      <c r="H4" s="22" t="n">
        <v>90</v>
      </c>
      <c r="I4" s="22" t="inlineStr">
        <is>
          <t>50х5</t>
        </is>
      </c>
      <c r="J4" s="22" t="inlineStr">
        <is>
          <t>40х4</t>
        </is>
      </c>
      <c r="K4" s="22" t="inlineStr">
        <is>
          <t>40х4</t>
        </is>
      </c>
    </row>
    <row r="5">
      <c r="A5" s="23" t="inlineStr">
        <is>
          <t>ТМГ-100</t>
        </is>
      </c>
      <c r="B5" s="23" t="inlineStr">
        <is>
          <t>Алттранс</t>
        </is>
      </c>
      <c r="C5" s="23" t="n">
        <v>100</v>
      </c>
      <c r="D5" s="23" t="n">
        <v>830</v>
      </c>
      <c r="E5" s="23" t="n">
        <v>645</v>
      </c>
      <c r="F5" s="23" t="n">
        <v>1045</v>
      </c>
      <c r="G5" s="23" t="n">
        <v>490</v>
      </c>
      <c r="H5" s="23" t="n">
        <v>144</v>
      </c>
      <c r="I5" s="23" t="inlineStr">
        <is>
          <t>50х5</t>
        </is>
      </c>
      <c r="J5" s="23" t="inlineStr">
        <is>
          <t>40х4</t>
        </is>
      </c>
      <c r="K5" s="23" t="inlineStr">
        <is>
          <t>40х4</t>
        </is>
      </c>
    </row>
    <row r="6">
      <c r="A6" s="22" t="inlineStr">
        <is>
          <t>ТМГ-160</t>
        </is>
      </c>
      <c r="B6" s="22" t="inlineStr">
        <is>
          <t>Алттранс</t>
        </is>
      </c>
      <c r="C6" s="22" t="n">
        <v>160</v>
      </c>
      <c r="D6" s="22" t="n">
        <v>925</v>
      </c>
      <c r="E6" s="22" t="n">
        <v>775</v>
      </c>
      <c r="F6" s="22" t="n">
        <v>1045</v>
      </c>
      <c r="G6" s="22" t="n">
        <v>680</v>
      </c>
      <c r="H6" s="22" t="n">
        <v>230</v>
      </c>
      <c r="I6" s="22" t="inlineStr">
        <is>
          <t>50х5</t>
        </is>
      </c>
      <c r="J6" s="22" t="inlineStr">
        <is>
          <t>40х4</t>
        </is>
      </c>
      <c r="K6" s="22" t="inlineStr">
        <is>
          <t>40х4</t>
        </is>
      </c>
    </row>
    <row r="7">
      <c r="A7" s="23" t="inlineStr">
        <is>
          <t>ТМГ-250</t>
        </is>
      </c>
      <c r="B7" s="23" t="inlineStr">
        <is>
          <t>Алттранс</t>
        </is>
      </c>
      <c r="C7" s="23" t="n">
        <v>250</v>
      </c>
      <c r="D7" s="23" t="n">
        <v>1110</v>
      </c>
      <c r="E7" s="23" t="n">
        <v>835</v>
      </c>
      <c r="F7" s="23" t="n">
        <v>1130</v>
      </c>
      <c r="G7" s="23" t="n">
        <v>895</v>
      </c>
      <c r="H7" s="23" t="n">
        <v>360</v>
      </c>
      <c r="I7" s="23" t="inlineStr">
        <is>
          <t>50х5</t>
        </is>
      </c>
      <c r="J7" s="23" t="inlineStr">
        <is>
          <t>40х5</t>
        </is>
      </c>
      <c r="K7" s="23" t="inlineStr">
        <is>
          <t>40х4</t>
        </is>
      </c>
    </row>
    <row r="8">
      <c r="A8" s="22" t="inlineStr">
        <is>
          <t>ТМГ-400</t>
        </is>
      </c>
      <c r="B8" s="22" t="inlineStr">
        <is>
          <t>Алттранс</t>
        </is>
      </c>
      <c r="C8" s="22" t="n">
        <v>400</v>
      </c>
      <c r="D8" s="22" t="n">
        <v>1255</v>
      </c>
      <c r="E8" s="22" t="n">
        <v>960</v>
      </c>
      <c r="F8" s="22" t="n">
        <v>1235</v>
      </c>
      <c r="G8" s="22" t="n">
        <v>1200</v>
      </c>
      <c r="H8" s="22" t="n">
        <v>577</v>
      </c>
      <c r="I8" s="22" t="inlineStr">
        <is>
          <t>50х5</t>
        </is>
      </c>
      <c r="J8" s="22" t="inlineStr">
        <is>
          <t>50х5</t>
        </is>
      </c>
      <c r="K8" s="22" t="inlineStr">
        <is>
          <t>40х5</t>
        </is>
      </c>
    </row>
    <row r="9">
      <c r="A9" s="23" t="inlineStr">
        <is>
          <t>ТМГ-630</t>
        </is>
      </c>
      <c r="B9" s="23" t="inlineStr">
        <is>
          <t>Алттранс</t>
        </is>
      </c>
      <c r="C9" s="23" t="n">
        <v>630</v>
      </c>
      <c r="D9" s="23" t="n">
        <v>1450</v>
      </c>
      <c r="E9" s="23" t="n">
        <v>1000</v>
      </c>
      <c r="F9" s="23" t="n">
        <v>1430</v>
      </c>
      <c r="G9" s="23" t="n">
        <v>1720</v>
      </c>
      <c r="H9" s="23" t="n">
        <v>909</v>
      </c>
      <c r="I9" s="23" t="inlineStr">
        <is>
          <t>50х5</t>
        </is>
      </c>
      <c r="J9" s="23" t="inlineStr">
        <is>
          <t>80х6</t>
        </is>
      </c>
      <c r="K9" s="23" t="inlineStr">
        <is>
          <t>50х5</t>
        </is>
      </c>
    </row>
    <row r="10">
      <c r="A10" s="22" t="inlineStr">
        <is>
          <t>ТМГ-1000</t>
        </is>
      </c>
      <c r="B10" s="22" t="inlineStr">
        <is>
          <t>Алттранс</t>
        </is>
      </c>
      <c r="C10" s="22" t="n">
        <v>1000</v>
      </c>
      <c r="D10" s="22" t="n">
        <v>1735</v>
      </c>
      <c r="E10" s="22" t="n">
        <v>1130</v>
      </c>
      <c r="F10" s="22" t="n">
        <v>1450</v>
      </c>
      <c r="G10" s="22" t="n">
        <v>2400</v>
      </c>
      <c r="H10" s="22" t="n">
        <v>1443</v>
      </c>
      <c r="I10" s="22" t="inlineStr">
        <is>
          <t>50х5</t>
        </is>
      </c>
      <c r="J10" s="22" t="inlineStr">
        <is>
          <t>100х8</t>
        </is>
      </c>
      <c r="K10" s="22" t="inlineStr">
        <is>
          <t>80х6</t>
        </is>
      </c>
    </row>
    <row r="11">
      <c r="A11" s="23" t="inlineStr">
        <is>
          <t>ТМГ-1250</t>
        </is>
      </c>
      <c r="B11" s="23" t="inlineStr">
        <is>
          <t>Алттранс</t>
        </is>
      </c>
      <c r="C11" s="23" t="n">
        <v>1250</v>
      </c>
      <c r="D11" s="23" t="n">
        <v>1791</v>
      </c>
      <c r="E11" s="23" t="n">
        <v>1070</v>
      </c>
      <c r="F11" s="23" t="n">
        <v>1856</v>
      </c>
      <c r="G11" s="23" t="n">
        <v>3135</v>
      </c>
      <c r="H11" s="23" t="n">
        <v>1803</v>
      </c>
      <c r="I11" s="23" t="inlineStr">
        <is>
          <t>50х5</t>
        </is>
      </c>
      <c r="J11" s="23" t="inlineStr">
        <is>
          <t>2х(80х8)</t>
        </is>
      </c>
      <c r="K11" s="23" t="inlineStr">
        <is>
          <t>80х8</t>
        </is>
      </c>
    </row>
    <row r="12">
      <c r="A12" s="22" t="inlineStr">
        <is>
          <t>ТМГ-1600</t>
        </is>
      </c>
      <c r="B12" s="22" t="inlineStr">
        <is>
          <t>Алттранс</t>
        </is>
      </c>
      <c r="C12" s="22" t="n">
        <v>1600</v>
      </c>
      <c r="D12" s="22" t="n">
        <v>1955</v>
      </c>
      <c r="E12" s="22" t="n">
        <v>1145</v>
      </c>
      <c r="F12" s="22" t="n">
        <v>1840</v>
      </c>
      <c r="G12" s="22" t="n">
        <v>3500</v>
      </c>
      <c r="H12" s="22" t="n">
        <v>2308</v>
      </c>
      <c r="I12" s="22" t="inlineStr">
        <is>
          <t>50х5</t>
        </is>
      </c>
      <c r="J12" s="22" t="inlineStr">
        <is>
          <t>2х(100х10)</t>
        </is>
      </c>
      <c r="K12" s="22" t="inlineStr">
        <is>
          <t>100х8</t>
        </is>
      </c>
    </row>
    <row r="13">
      <c r="A13" s="23" t="inlineStr">
        <is>
          <t>ТМГ-2500</t>
        </is>
      </c>
      <c r="B13" s="23" t="inlineStr">
        <is>
          <t>Алттранс</t>
        </is>
      </c>
      <c r="C13" s="23" t="n">
        <v>2500</v>
      </c>
      <c r="D13" s="23" t="n">
        <v>2300</v>
      </c>
      <c r="E13" s="23" t="n">
        <v>1350</v>
      </c>
      <c r="F13" s="23" t="n">
        <v>2100</v>
      </c>
      <c r="G13" s="23" t="n">
        <v>5500</v>
      </c>
      <c r="H13" s="23" t="n">
        <v>3607</v>
      </c>
      <c r="I13" s="23" t="inlineStr">
        <is>
          <t>50х5</t>
        </is>
      </c>
      <c r="J13" s="23" t="inlineStr">
        <is>
          <t>3х(100х10)</t>
        </is>
      </c>
      <c r="K13" s="23" t="inlineStr">
        <is>
          <t>100х10</t>
        </is>
      </c>
    </row>
    <row r="14">
      <c r="A14" s="22" t="inlineStr">
        <is>
          <t>ТМГ-160 (СВЭЛ)</t>
        </is>
      </c>
      <c r="B14" s="22" t="inlineStr">
        <is>
          <t>СВЭЛ</t>
        </is>
      </c>
      <c r="C14" s="22" t="n">
        <v>160</v>
      </c>
      <c r="D14" s="22" t="n">
        <v>995</v>
      </c>
      <c r="E14" s="22" t="n">
        <v>790</v>
      </c>
      <c r="F14" s="22" t="n">
        <v>1085</v>
      </c>
      <c r="G14" s="22" t="n">
        <v>720</v>
      </c>
      <c r="H14" s="22" t="n">
        <v>230</v>
      </c>
      <c r="I14" s="22" t="inlineStr">
        <is>
          <t>50х5</t>
        </is>
      </c>
      <c r="J14" s="22" t="inlineStr">
        <is>
          <t>40х4</t>
        </is>
      </c>
      <c r="K14" s="22" t="inlineStr">
        <is>
          <t>40х4</t>
        </is>
      </c>
    </row>
    <row r="15">
      <c r="A15" s="23" t="inlineStr">
        <is>
          <t>ТМГ-250 (СВЭЛ)</t>
        </is>
      </c>
      <c r="B15" s="23" t="inlineStr">
        <is>
          <t>СВЭЛ</t>
        </is>
      </c>
      <c r="C15" s="23" t="n">
        <v>250</v>
      </c>
      <c r="D15" s="23" t="n">
        <v>1055</v>
      </c>
      <c r="E15" s="23" t="n">
        <v>885</v>
      </c>
      <c r="F15" s="23" t="n">
        <v>1165</v>
      </c>
      <c r="G15" s="23" t="n">
        <v>930</v>
      </c>
      <c r="H15" s="23" t="n">
        <v>360</v>
      </c>
      <c r="I15" s="23" t="inlineStr">
        <is>
          <t>50х5</t>
        </is>
      </c>
      <c r="J15" s="23" t="inlineStr">
        <is>
          <t>40х5</t>
        </is>
      </c>
      <c r="K15" s="23" t="inlineStr">
        <is>
          <t>40х4</t>
        </is>
      </c>
    </row>
    <row r="16">
      <c r="A16" s="22" t="inlineStr">
        <is>
          <t>ТМГ-400 (СВЭЛ)</t>
        </is>
      </c>
      <c r="B16" s="22" t="inlineStr">
        <is>
          <t>СВЭЛ</t>
        </is>
      </c>
      <c r="C16" s="22" t="n">
        <v>400</v>
      </c>
      <c r="D16" s="22" t="n">
        <v>1085</v>
      </c>
      <c r="E16" s="22" t="n">
        <v>910</v>
      </c>
      <c r="F16" s="22" t="n">
        <v>1355</v>
      </c>
      <c r="G16" s="22" t="n">
        <v>1500</v>
      </c>
      <c r="H16" s="22" t="n">
        <v>577</v>
      </c>
      <c r="I16" s="22" t="inlineStr">
        <is>
          <t>50х5</t>
        </is>
      </c>
      <c r="J16" s="22" t="inlineStr">
        <is>
          <t>50х5</t>
        </is>
      </c>
      <c r="K16" s="22" t="inlineStr">
        <is>
          <t>40х5</t>
        </is>
      </c>
    </row>
    <row r="17">
      <c r="A17" s="23" t="inlineStr">
        <is>
          <t>ТМГ-630 (СВЭЛ)</t>
        </is>
      </c>
      <c r="B17" s="23" t="inlineStr">
        <is>
          <t>СВЭЛ</t>
        </is>
      </c>
      <c r="C17" s="23" t="n">
        <v>630</v>
      </c>
      <c r="D17" s="23" t="n">
        <v>1765</v>
      </c>
      <c r="E17" s="23" t="n">
        <v>1185</v>
      </c>
      <c r="F17" s="23" t="n">
        <v>1305</v>
      </c>
      <c r="G17" s="23" t="n">
        <v>1700</v>
      </c>
      <c r="H17" s="23" t="n">
        <v>909</v>
      </c>
      <c r="I17" s="23" t="inlineStr">
        <is>
          <t>50х5</t>
        </is>
      </c>
      <c r="J17" s="23" t="inlineStr">
        <is>
          <t>80х6</t>
        </is>
      </c>
      <c r="K17" s="23" t="inlineStr">
        <is>
          <t>50х5</t>
        </is>
      </c>
    </row>
    <row r="18">
      <c r="A18" s="22" t="inlineStr">
        <is>
          <t>ТМГ-1000 (СВЭЛ)</t>
        </is>
      </c>
      <c r="B18" s="22" t="inlineStr">
        <is>
          <t>СВЭЛ</t>
        </is>
      </c>
      <c r="C18" s="22" t="n">
        <v>1000</v>
      </c>
      <c r="D18" s="22" t="n">
        <v>1980</v>
      </c>
      <c r="E18" s="22" t="n">
        <v>1170</v>
      </c>
      <c r="F18" s="22" t="n">
        <v>1450</v>
      </c>
      <c r="G18" s="22" t="n">
        <v>2400</v>
      </c>
      <c r="H18" s="22" t="n">
        <v>1443</v>
      </c>
      <c r="I18" s="22" t="inlineStr">
        <is>
          <t>50х5</t>
        </is>
      </c>
      <c r="J18" s="22" t="inlineStr">
        <is>
          <t>100х8</t>
        </is>
      </c>
      <c r="K18" s="22" t="inlineStr">
        <is>
          <t>80х6</t>
        </is>
      </c>
    </row>
    <row r="19">
      <c r="A19" s="23" t="inlineStr">
        <is>
          <t>ТМГ-1600 (СВЭЛ)</t>
        </is>
      </c>
      <c r="B19" s="23" t="inlineStr">
        <is>
          <t>СВЭЛ</t>
        </is>
      </c>
      <c r="C19" s="23" t="n">
        <v>1600</v>
      </c>
      <c r="D19" s="23" t="n">
        <v>2260</v>
      </c>
      <c r="E19" s="23" t="n">
        <v>1385</v>
      </c>
      <c r="F19" s="23" t="n">
        <v>1640</v>
      </c>
      <c r="G19" s="23" t="n">
        <v>4100</v>
      </c>
      <c r="H19" s="23" t="n">
        <v>2308</v>
      </c>
      <c r="I19" s="23" t="inlineStr">
        <is>
          <t>50х5</t>
        </is>
      </c>
      <c r="J19" s="23" t="inlineStr">
        <is>
          <t>2х(100х10)</t>
        </is>
      </c>
      <c r="K19" s="23" t="inlineStr">
        <is>
          <t>100х8</t>
        </is>
      </c>
    </row>
    <row r="20">
      <c r="A20" s="22" t="inlineStr">
        <is>
          <t>ТМГ-2500 (СВЭЛ)</t>
        </is>
      </c>
      <c r="B20" s="22" t="inlineStr">
        <is>
          <t>СВЭЛ</t>
        </is>
      </c>
      <c r="C20" s="22" t="n">
        <v>2500</v>
      </c>
      <c r="D20" s="22" t="n">
        <v>2325</v>
      </c>
      <c r="E20" s="22" t="n">
        <v>1495</v>
      </c>
      <c r="F20" s="22" t="n">
        <v>2015</v>
      </c>
      <c r="G20" s="22" t="n">
        <v>5040</v>
      </c>
      <c r="H20" s="22" t="n">
        <v>3607</v>
      </c>
      <c r="I20" s="22" t="inlineStr">
        <is>
          <t>50х5</t>
        </is>
      </c>
      <c r="J20" s="22" t="inlineStr">
        <is>
          <t>3х(100х10)</t>
        </is>
      </c>
      <c r="K20" s="22" t="inlineStr">
        <is>
          <t>100х10</t>
        </is>
      </c>
    </row>
    <row r="21">
      <c r="A21" s="23" t="inlineStr">
        <is>
          <t>ТСЛ-400 (СВЭЛ)</t>
        </is>
      </c>
      <c r="B21" s="23" t="inlineStr">
        <is>
          <t>СВЭЛ</t>
        </is>
      </c>
      <c r="C21" s="23" t="n">
        <v>400</v>
      </c>
      <c r="D21" s="23" t="n">
        <v>1350</v>
      </c>
      <c r="E21" s="23" t="n">
        <v>850</v>
      </c>
      <c r="F21" s="23" t="n">
        <v>1450</v>
      </c>
      <c r="G21" s="23" t="n">
        <v>1600</v>
      </c>
      <c r="H21" s="23" t="n">
        <v>577</v>
      </c>
      <c r="I21" s="23" t="inlineStr">
        <is>
          <t>50х5</t>
        </is>
      </c>
      <c r="J21" s="23" t="inlineStr">
        <is>
          <t>50х5</t>
        </is>
      </c>
      <c r="K21" s="23" t="inlineStr">
        <is>
          <t>40х5</t>
        </is>
      </c>
    </row>
    <row r="22">
      <c r="A22" s="22" t="inlineStr">
        <is>
          <t>ТСЛ-630 (СВЭЛ)</t>
        </is>
      </c>
      <c r="B22" s="22" t="inlineStr">
        <is>
          <t>СВЭЛ</t>
        </is>
      </c>
      <c r="C22" s="22" t="n">
        <v>630</v>
      </c>
      <c r="D22" s="22" t="n">
        <v>1450</v>
      </c>
      <c r="E22" s="22" t="n">
        <v>900</v>
      </c>
      <c r="F22" s="22" t="n">
        <v>1600</v>
      </c>
      <c r="G22" s="22" t="n">
        <v>2100</v>
      </c>
      <c r="H22" s="22" t="n">
        <v>909</v>
      </c>
      <c r="I22" s="22" t="inlineStr">
        <is>
          <t>50х5</t>
        </is>
      </c>
      <c r="J22" s="22" t="inlineStr">
        <is>
          <t>80х6</t>
        </is>
      </c>
      <c r="K22" s="22" t="inlineStr">
        <is>
          <t>50х5</t>
        </is>
      </c>
    </row>
    <row r="23">
      <c r="A23" s="23" t="inlineStr">
        <is>
          <t>ТСЛ-1000 (СВЭЛ)</t>
        </is>
      </c>
      <c r="B23" s="23" t="inlineStr">
        <is>
          <t>СВЭЛ</t>
        </is>
      </c>
      <c r="C23" s="23" t="n">
        <v>1000</v>
      </c>
      <c r="D23" s="23" t="n">
        <v>1600</v>
      </c>
      <c r="E23" s="23" t="n">
        <v>1000</v>
      </c>
      <c r="F23" s="23" t="n">
        <v>1850</v>
      </c>
      <c r="G23" s="23" t="n">
        <v>3100</v>
      </c>
      <c r="H23" s="23" t="n">
        <v>1443</v>
      </c>
      <c r="I23" s="23" t="inlineStr">
        <is>
          <t>50х5</t>
        </is>
      </c>
      <c r="J23" s="23" t="inlineStr">
        <is>
          <t>100х8</t>
        </is>
      </c>
      <c r="K23" s="23" t="inlineStr">
        <is>
          <t>80х6</t>
        </is>
      </c>
    </row>
    <row r="24">
      <c r="A24" s="22" t="inlineStr">
        <is>
          <t>ТСЛ-1600 (СВЭЛ)</t>
        </is>
      </c>
      <c r="B24" s="22" t="inlineStr">
        <is>
          <t>СВЭЛ</t>
        </is>
      </c>
      <c r="C24" s="22" t="n">
        <v>1600</v>
      </c>
      <c r="D24" s="22" t="n">
        <v>1800</v>
      </c>
      <c r="E24" s="22" t="n">
        <v>1100</v>
      </c>
      <c r="F24" s="22" t="n">
        <v>2100</v>
      </c>
      <c r="G24" s="22" t="n">
        <v>4600</v>
      </c>
      <c r="H24" s="22" t="n">
        <v>2308</v>
      </c>
      <c r="I24" s="22" t="inlineStr">
        <is>
          <t>50х5</t>
        </is>
      </c>
      <c r="J24" s="22" t="inlineStr">
        <is>
          <t>2х(100х10)</t>
        </is>
      </c>
      <c r="K24" s="22" t="inlineStr">
        <is>
          <t>100х8</t>
        </is>
      </c>
    </row>
    <row r="25">
      <c r="A25" s="23" t="inlineStr">
        <is>
          <t>ТСЛ-2500 (СВЭЛ)</t>
        </is>
      </c>
      <c r="B25" s="23" t="inlineStr">
        <is>
          <t>СВЭЛ</t>
        </is>
      </c>
      <c r="C25" s="23" t="n">
        <v>2500</v>
      </c>
      <c r="D25" s="23" t="n">
        <v>2000</v>
      </c>
      <c r="E25" s="23" t="n">
        <v>1200</v>
      </c>
      <c r="F25" s="23" t="n">
        <v>2350</v>
      </c>
      <c r="G25" s="23" t="n">
        <v>6700</v>
      </c>
      <c r="H25" s="23" t="n">
        <v>3607</v>
      </c>
      <c r="I25" s="23" t="inlineStr">
        <is>
          <t>50х5</t>
        </is>
      </c>
      <c r="J25" s="23" t="inlineStr">
        <is>
          <t>3х(100х10)</t>
        </is>
      </c>
      <c r="K25" s="23" t="inlineStr">
        <is>
          <t>100х10</t>
        </is>
      </c>
    </row>
    <row r="26">
      <c r="A26" s="22" t="inlineStr">
        <is>
          <t>ТМГ-25 (МЭТЗ)</t>
        </is>
      </c>
      <c r="B26" s="22" t="inlineStr">
        <is>
          <t>МЭТЗ</t>
        </is>
      </c>
      <c r="C26" s="22" t="n">
        <v>25</v>
      </c>
      <c r="D26" s="22" t="n">
        <v>770</v>
      </c>
      <c r="E26" s="22" t="n">
        <v>430</v>
      </c>
      <c r="F26" s="22" t="n">
        <v>900</v>
      </c>
      <c r="G26" s="22" t="n">
        <v>255</v>
      </c>
      <c r="H26" s="22" t="n">
        <v>36</v>
      </c>
      <c r="I26" s="22" t="inlineStr">
        <is>
          <t>50х5</t>
        </is>
      </c>
      <c r="J26" s="22" t="inlineStr">
        <is>
          <t>40х4</t>
        </is>
      </c>
      <c r="K26" s="22" t="inlineStr">
        <is>
          <t>40х4</t>
        </is>
      </c>
    </row>
    <row r="27">
      <c r="A27" s="23" t="inlineStr">
        <is>
          <t>ТМГ-40 (МЭТЗ)</t>
        </is>
      </c>
      <c r="B27" s="23" t="inlineStr">
        <is>
          <t>МЭТЗ</t>
        </is>
      </c>
      <c r="C27" s="23" t="n">
        <v>40</v>
      </c>
      <c r="D27" s="23" t="n">
        <v>820</v>
      </c>
      <c r="E27" s="23" t="n">
        <v>435</v>
      </c>
      <c r="F27" s="23" t="n">
        <v>950</v>
      </c>
      <c r="G27" s="23" t="n">
        <v>305</v>
      </c>
      <c r="H27" s="23" t="n">
        <v>57</v>
      </c>
      <c r="I27" s="23" t="inlineStr">
        <is>
          <t>50х5</t>
        </is>
      </c>
      <c r="J27" s="23" t="inlineStr">
        <is>
          <t>40х4</t>
        </is>
      </c>
      <c r="K27" s="23" t="inlineStr">
        <is>
          <t>40х4</t>
        </is>
      </c>
    </row>
    <row r="28">
      <c r="A28" s="22" t="inlineStr">
        <is>
          <t>ТМГ-63 (МЭТЗ)</t>
        </is>
      </c>
      <c r="B28" s="22" t="inlineStr">
        <is>
          <t>МЭТЗ</t>
        </is>
      </c>
      <c r="C28" s="22" t="n">
        <v>63</v>
      </c>
      <c r="D28" s="22" t="n">
        <v>800</v>
      </c>
      <c r="E28" s="22" t="n">
        <v>570</v>
      </c>
      <c r="F28" s="22" t="n">
        <v>920</v>
      </c>
      <c r="G28" s="22" t="n">
        <v>375</v>
      </c>
      <c r="H28" s="22" t="n">
        <v>90</v>
      </c>
      <c r="I28" s="22" t="inlineStr">
        <is>
          <t>50х5</t>
        </is>
      </c>
      <c r="J28" s="22" t="inlineStr">
        <is>
          <t>40х4</t>
        </is>
      </c>
      <c r="K28" s="22" t="inlineStr">
        <is>
          <t>40х4</t>
        </is>
      </c>
    </row>
    <row r="29">
      <c r="A29" s="23" t="inlineStr">
        <is>
          <t>ТМГ-100 (МЭТЗ)</t>
        </is>
      </c>
      <c r="B29" s="23" t="inlineStr">
        <is>
          <t>МЭТЗ</t>
        </is>
      </c>
      <c r="C29" s="23" t="n">
        <v>100</v>
      </c>
      <c r="D29" s="23" t="n">
        <v>820</v>
      </c>
      <c r="E29" s="23" t="n">
        <v>640</v>
      </c>
      <c r="F29" s="23" t="n">
        <v>1040</v>
      </c>
      <c r="G29" s="23" t="n">
        <v>485</v>
      </c>
      <c r="H29" s="23" t="n">
        <v>144</v>
      </c>
      <c r="I29" s="23" t="inlineStr">
        <is>
          <t>50х5</t>
        </is>
      </c>
      <c r="J29" s="23" t="inlineStr">
        <is>
          <t>40х4</t>
        </is>
      </c>
      <c r="K29" s="23" t="inlineStr">
        <is>
          <t>40х4</t>
        </is>
      </c>
    </row>
    <row r="30">
      <c r="A30" s="22" t="inlineStr">
        <is>
          <t>ТМГ-160 (МЭТЗ)</t>
        </is>
      </c>
      <c r="B30" s="22" t="inlineStr">
        <is>
          <t>МЭТЗ</t>
        </is>
      </c>
      <c r="C30" s="22" t="n">
        <v>160</v>
      </c>
      <c r="D30" s="22" t="n">
        <v>920</v>
      </c>
      <c r="E30" s="22" t="n">
        <v>770</v>
      </c>
      <c r="F30" s="22" t="n">
        <v>1040</v>
      </c>
      <c r="G30" s="22" t="n">
        <v>675</v>
      </c>
      <c r="H30" s="22" t="n">
        <v>230</v>
      </c>
      <c r="I30" s="22" t="inlineStr">
        <is>
          <t>50х5</t>
        </is>
      </c>
      <c r="J30" s="22" t="inlineStr">
        <is>
          <t>40х4</t>
        </is>
      </c>
      <c r="K30" s="22" t="inlineStr">
        <is>
          <t>40х4</t>
        </is>
      </c>
    </row>
    <row r="31">
      <c r="A31" s="23" t="inlineStr">
        <is>
          <t>ТМГ-250 (МЭТЗ)</t>
        </is>
      </c>
      <c r="B31" s="23" t="inlineStr">
        <is>
          <t>МЭТЗ</t>
        </is>
      </c>
      <c r="C31" s="23" t="n">
        <v>250</v>
      </c>
      <c r="D31" s="23" t="n">
        <v>1100</v>
      </c>
      <c r="E31" s="23" t="n">
        <v>830</v>
      </c>
      <c r="F31" s="23" t="n">
        <v>1120</v>
      </c>
      <c r="G31" s="23" t="n">
        <v>890</v>
      </c>
      <c r="H31" s="23" t="n">
        <v>360</v>
      </c>
      <c r="I31" s="23" t="inlineStr">
        <is>
          <t>50х5</t>
        </is>
      </c>
      <c r="J31" s="23" t="inlineStr">
        <is>
          <t>40х5</t>
        </is>
      </c>
      <c r="K31" s="23" t="inlineStr">
        <is>
          <t>40х4</t>
        </is>
      </c>
    </row>
    <row r="32">
      <c r="A32" s="22" t="inlineStr">
        <is>
          <t>ТМГ-400 (МЭТЗ)</t>
        </is>
      </c>
      <c r="B32" s="22" t="inlineStr">
        <is>
          <t>МЭТЗ</t>
        </is>
      </c>
      <c r="C32" s="22" t="n">
        <v>400</v>
      </c>
      <c r="D32" s="22" t="n">
        <v>1250</v>
      </c>
      <c r="E32" s="22" t="n">
        <v>950</v>
      </c>
      <c r="F32" s="22" t="n">
        <v>1230</v>
      </c>
      <c r="G32" s="22" t="n">
        <v>1190</v>
      </c>
      <c r="H32" s="22" t="n">
        <v>577</v>
      </c>
      <c r="I32" s="22" t="inlineStr">
        <is>
          <t>50х5</t>
        </is>
      </c>
      <c r="J32" s="22" t="inlineStr">
        <is>
          <t>50х5</t>
        </is>
      </c>
      <c r="K32" s="22" t="inlineStr">
        <is>
          <t>40х5</t>
        </is>
      </c>
    </row>
    <row r="33">
      <c r="A33" s="23" t="inlineStr">
        <is>
          <t>ТМГ-630 (МЭТЗ)</t>
        </is>
      </c>
      <c r="B33" s="23" t="inlineStr">
        <is>
          <t>МЭТЗ</t>
        </is>
      </c>
      <c r="C33" s="23" t="n">
        <v>630</v>
      </c>
      <c r="D33" s="23" t="n">
        <v>1440</v>
      </c>
      <c r="E33" s="23" t="n">
        <v>990</v>
      </c>
      <c r="F33" s="23" t="n">
        <v>1420</v>
      </c>
      <c r="G33" s="23" t="n">
        <v>1710</v>
      </c>
      <c r="H33" s="23" t="n">
        <v>909</v>
      </c>
      <c r="I33" s="23" t="inlineStr">
        <is>
          <t>50х5</t>
        </is>
      </c>
      <c r="J33" s="23" t="inlineStr">
        <is>
          <t>80х6</t>
        </is>
      </c>
      <c r="K33" s="23" t="inlineStr">
        <is>
          <t>50х5</t>
        </is>
      </c>
    </row>
    <row r="34">
      <c r="A34" s="22" t="inlineStr">
        <is>
          <t>ТМГ-1000 (МЭТЗ)</t>
        </is>
      </c>
      <c r="B34" s="22" t="inlineStr">
        <is>
          <t>МЭТЗ</t>
        </is>
      </c>
      <c r="C34" s="22" t="n">
        <v>1000</v>
      </c>
      <c r="D34" s="22" t="n">
        <v>1730</v>
      </c>
      <c r="E34" s="22" t="n">
        <v>1120</v>
      </c>
      <c r="F34" s="22" t="n">
        <v>1440</v>
      </c>
      <c r="G34" s="22" t="n">
        <v>2390</v>
      </c>
      <c r="H34" s="22" t="n">
        <v>1443</v>
      </c>
      <c r="I34" s="22" t="inlineStr">
        <is>
          <t>50х5</t>
        </is>
      </c>
      <c r="J34" s="22" t="inlineStr">
        <is>
          <t>100х8</t>
        </is>
      </c>
      <c r="K34" s="22" t="inlineStr">
        <is>
          <t>80х6</t>
        </is>
      </c>
    </row>
    <row r="35">
      <c r="A35" s="23" t="inlineStr">
        <is>
          <t>ТМГ-1250 (МЭТЗ)</t>
        </is>
      </c>
      <c r="B35" s="23" t="inlineStr">
        <is>
          <t>МЭТЗ</t>
        </is>
      </c>
      <c r="C35" s="23" t="n">
        <v>1250</v>
      </c>
      <c r="D35" s="23" t="n">
        <v>1780</v>
      </c>
      <c r="E35" s="23" t="n">
        <v>1060</v>
      </c>
      <c r="F35" s="23" t="n">
        <v>1850</v>
      </c>
      <c r="G35" s="23" t="n">
        <v>3120</v>
      </c>
      <c r="H35" s="23" t="n">
        <v>1803</v>
      </c>
      <c r="I35" s="23" t="inlineStr">
        <is>
          <t>50х5</t>
        </is>
      </c>
      <c r="J35" s="23" t="inlineStr">
        <is>
          <t>2х(80х8)</t>
        </is>
      </c>
      <c r="K35" s="23" t="inlineStr">
        <is>
          <t>80х8</t>
        </is>
      </c>
    </row>
    <row r="36">
      <c r="A36" s="22" t="inlineStr">
        <is>
          <t>ТМГ-1600 (МЭТЗ)</t>
        </is>
      </c>
      <c r="B36" s="22" t="inlineStr">
        <is>
          <t>МЭТЗ</t>
        </is>
      </c>
      <c r="C36" s="22" t="n">
        <v>1600</v>
      </c>
      <c r="D36" s="22" t="n">
        <v>1950</v>
      </c>
      <c r="E36" s="22" t="n">
        <v>1140</v>
      </c>
      <c r="F36" s="22" t="n">
        <v>1830</v>
      </c>
      <c r="G36" s="22" t="n">
        <v>3490</v>
      </c>
      <c r="H36" s="22" t="n">
        <v>2308</v>
      </c>
      <c r="I36" s="22" t="inlineStr">
        <is>
          <t>50х5</t>
        </is>
      </c>
      <c r="J36" s="22" t="inlineStr">
        <is>
          <t>2х(100х10)</t>
        </is>
      </c>
      <c r="K36" s="22" t="inlineStr">
        <is>
          <t>100х8</t>
        </is>
      </c>
    </row>
    <row r="37">
      <c r="A37" s="23" t="inlineStr">
        <is>
          <t>ТМГ-2500 (МЭТЗ)</t>
        </is>
      </c>
      <c r="B37" s="23" t="inlineStr">
        <is>
          <t>МЭТЗ</t>
        </is>
      </c>
      <c r="C37" s="23" t="n">
        <v>2500</v>
      </c>
      <c r="D37" s="23" t="n">
        <v>2290</v>
      </c>
      <c r="E37" s="23" t="n">
        <v>1340</v>
      </c>
      <c r="F37" s="23" t="n">
        <v>2090</v>
      </c>
      <c r="G37" s="23" t="n">
        <v>5490</v>
      </c>
      <c r="H37" s="23" t="n">
        <v>3607</v>
      </c>
      <c r="I37" s="23" t="inlineStr">
        <is>
          <t>50х5</t>
        </is>
      </c>
      <c r="J37" s="23" t="inlineStr">
        <is>
          <t>3х(100х10)</t>
        </is>
      </c>
      <c r="K37" s="23" t="inlineStr">
        <is>
          <t>100х10</t>
        </is>
      </c>
    </row>
    <row r="38">
      <c r="A38" s="22" t="inlineStr">
        <is>
          <t>ТМГ-160 (Электрощит)</t>
        </is>
      </c>
      <c r="B38" s="22" t="inlineStr">
        <is>
          <t>Электрощит</t>
        </is>
      </c>
      <c r="C38" s="22" t="n">
        <v>160</v>
      </c>
      <c r="D38" s="22" t="n">
        <v>940</v>
      </c>
      <c r="E38" s="22" t="n">
        <v>780</v>
      </c>
      <c r="F38" s="22" t="n">
        <v>1060</v>
      </c>
      <c r="G38" s="22" t="n">
        <v>690</v>
      </c>
      <c r="H38" s="22" t="n">
        <v>230</v>
      </c>
      <c r="I38" s="22" t="inlineStr">
        <is>
          <t>50х5</t>
        </is>
      </c>
      <c r="J38" s="22" t="inlineStr">
        <is>
          <t>40х4</t>
        </is>
      </c>
      <c r="K38" s="22" t="inlineStr">
        <is>
          <t>40х4</t>
        </is>
      </c>
    </row>
    <row r="39">
      <c r="A39" s="23" t="inlineStr">
        <is>
          <t>ТМГ-250 (Электрощит)</t>
        </is>
      </c>
      <c r="B39" s="23" t="inlineStr">
        <is>
          <t>Электрощит</t>
        </is>
      </c>
      <c r="C39" s="23" t="n">
        <v>250</v>
      </c>
      <c r="D39" s="23" t="n">
        <v>1120</v>
      </c>
      <c r="E39" s="23" t="n">
        <v>840</v>
      </c>
      <c r="F39" s="23" t="n">
        <v>1140</v>
      </c>
      <c r="G39" s="23" t="n">
        <v>900</v>
      </c>
      <c r="H39" s="23" t="n">
        <v>360</v>
      </c>
      <c r="I39" s="23" t="inlineStr">
        <is>
          <t>50х5</t>
        </is>
      </c>
      <c r="J39" s="23" t="inlineStr">
        <is>
          <t>40х5</t>
        </is>
      </c>
      <c r="K39" s="23" t="inlineStr">
        <is>
          <t>40х4</t>
        </is>
      </c>
    </row>
    <row r="40">
      <c r="A40" s="22" t="inlineStr">
        <is>
          <t>ТМГ-400 (Электрощит)</t>
        </is>
      </c>
      <c r="B40" s="22" t="inlineStr">
        <is>
          <t>Электрощит</t>
        </is>
      </c>
      <c r="C40" s="22" t="n">
        <v>400</v>
      </c>
      <c r="D40" s="22" t="n">
        <v>1270</v>
      </c>
      <c r="E40" s="22" t="n">
        <v>970</v>
      </c>
      <c r="F40" s="22" t="n">
        <v>1250</v>
      </c>
      <c r="G40" s="22" t="n">
        <v>1210</v>
      </c>
      <c r="H40" s="22" t="n">
        <v>577</v>
      </c>
      <c r="I40" s="22" t="inlineStr">
        <is>
          <t>50х5</t>
        </is>
      </c>
      <c r="J40" s="22" t="inlineStr">
        <is>
          <t>50х5</t>
        </is>
      </c>
      <c r="K40" s="22" t="inlineStr">
        <is>
          <t>40х5</t>
        </is>
      </c>
    </row>
    <row r="41">
      <c r="A41" s="23" t="inlineStr">
        <is>
          <t>ТМГ-630 (Электрощит)</t>
        </is>
      </c>
      <c r="B41" s="23" t="inlineStr">
        <is>
          <t>Электрощит</t>
        </is>
      </c>
      <c r="C41" s="23" t="n">
        <v>630</v>
      </c>
      <c r="D41" s="23" t="n">
        <v>1460</v>
      </c>
      <c r="E41" s="23" t="n">
        <v>1010</v>
      </c>
      <c r="F41" s="23" t="n">
        <v>1440</v>
      </c>
      <c r="G41" s="23" t="n">
        <v>1730</v>
      </c>
      <c r="H41" s="23" t="n">
        <v>909</v>
      </c>
      <c r="I41" s="23" t="inlineStr">
        <is>
          <t>50х5</t>
        </is>
      </c>
      <c r="J41" s="23" t="inlineStr">
        <is>
          <t>80х6</t>
        </is>
      </c>
      <c r="K41" s="23" t="inlineStr">
        <is>
          <t>50х5</t>
        </is>
      </c>
    </row>
    <row r="42">
      <c r="A42" s="22" t="inlineStr">
        <is>
          <t>ТМГ-1000 (Электрощит)</t>
        </is>
      </c>
      <c r="B42" s="22" t="inlineStr">
        <is>
          <t>Электрощит</t>
        </is>
      </c>
      <c r="C42" s="22" t="n">
        <v>1000</v>
      </c>
      <c r="D42" s="22" t="n">
        <v>1750</v>
      </c>
      <c r="E42" s="22" t="n">
        <v>1140</v>
      </c>
      <c r="F42" s="22" t="n">
        <v>1460</v>
      </c>
      <c r="G42" s="22" t="n">
        <v>2420</v>
      </c>
      <c r="H42" s="22" t="n">
        <v>1443</v>
      </c>
      <c r="I42" s="22" t="inlineStr">
        <is>
          <t>50х5</t>
        </is>
      </c>
      <c r="J42" s="22" t="inlineStr">
        <is>
          <t>100х8</t>
        </is>
      </c>
      <c r="K42" s="22" t="inlineStr">
        <is>
          <t>80х6</t>
        </is>
      </c>
    </row>
    <row r="43">
      <c r="A43" s="23" t="inlineStr">
        <is>
          <t>ТМГ-1600 (Электрощит)</t>
        </is>
      </c>
      <c r="B43" s="23" t="inlineStr">
        <is>
          <t>Электрощит</t>
        </is>
      </c>
      <c r="C43" s="23" t="n">
        <v>1600</v>
      </c>
      <c r="D43" s="23" t="n">
        <v>1970</v>
      </c>
      <c r="E43" s="23" t="n">
        <v>1160</v>
      </c>
      <c r="F43" s="23" t="n">
        <v>1860</v>
      </c>
      <c r="G43" s="23" t="n">
        <v>3520</v>
      </c>
      <c r="H43" s="23" t="n">
        <v>2308</v>
      </c>
      <c r="I43" s="23" t="inlineStr">
        <is>
          <t>50х5</t>
        </is>
      </c>
      <c r="J43" s="23" t="inlineStr">
        <is>
          <t>2х(100х10)</t>
        </is>
      </c>
      <c r="K43" s="23" t="inlineStr">
        <is>
          <t>100х8</t>
        </is>
      </c>
    </row>
    <row r="44">
      <c r="A44" s="22" t="inlineStr">
        <is>
          <t>ТСЛ-400 (Электрощит)</t>
        </is>
      </c>
      <c r="B44" s="22" t="inlineStr">
        <is>
          <t>Электрощит</t>
        </is>
      </c>
      <c r="C44" s="22" t="n">
        <v>400</v>
      </c>
      <c r="D44" s="22" t="n">
        <v>1360</v>
      </c>
      <c r="E44" s="22" t="n">
        <v>860</v>
      </c>
      <c r="F44" s="22" t="n">
        <v>1460</v>
      </c>
      <c r="G44" s="22" t="n">
        <v>1620</v>
      </c>
      <c r="H44" s="22" t="n">
        <v>577</v>
      </c>
      <c r="I44" s="22" t="inlineStr">
        <is>
          <t>50х5</t>
        </is>
      </c>
      <c r="J44" s="22" t="inlineStr">
        <is>
          <t>50х5</t>
        </is>
      </c>
      <c r="K44" s="22" t="inlineStr">
        <is>
          <t>40х5</t>
        </is>
      </c>
    </row>
    <row r="45">
      <c r="A45" s="23" t="inlineStr">
        <is>
          <t>ТСЛ-630 (Электрощит)</t>
        </is>
      </c>
      <c r="B45" s="23" t="inlineStr">
        <is>
          <t>Электрощит</t>
        </is>
      </c>
      <c r="C45" s="23" t="n">
        <v>630</v>
      </c>
      <c r="D45" s="23" t="n">
        <v>1460</v>
      </c>
      <c r="E45" s="23" t="n">
        <v>910</v>
      </c>
      <c r="F45" s="23" t="n">
        <v>1610</v>
      </c>
      <c r="G45" s="23" t="n">
        <v>2120</v>
      </c>
      <c r="H45" s="23" t="n">
        <v>909</v>
      </c>
      <c r="I45" s="23" t="inlineStr">
        <is>
          <t>50х5</t>
        </is>
      </c>
      <c r="J45" s="23" t="inlineStr">
        <is>
          <t>80х6</t>
        </is>
      </c>
      <c r="K45" s="23" t="inlineStr">
        <is>
          <t>50х5</t>
        </is>
      </c>
    </row>
    <row r="46">
      <c r="A46" s="22" t="inlineStr">
        <is>
          <t>ТСЛ-1000 (Электрощит)</t>
        </is>
      </c>
      <c r="B46" s="22" t="inlineStr">
        <is>
          <t>Электрощит</t>
        </is>
      </c>
      <c r="C46" s="22" t="n">
        <v>1000</v>
      </c>
      <c r="D46" s="22" t="n">
        <v>1610</v>
      </c>
      <c r="E46" s="22" t="n">
        <v>1010</v>
      </c>
      <c r="F46" s="22" t="n">
        <v>1860</v>
      </c>
      <c r="G46" s="22" t="n">
        <v>3120</v>
      </c>
      <c r="H46" s="22" t="n">
        <v>1443</v>
      </c>
      <c r="I46" s="22" t="inlineStr">
        <is>
          <t>50х5</t>
        </is>
      </c>
      <c r="J46" s="22" t="inlineStr">
        <is>
          <t>100х8</t>
        </is>
      </c>
      <c r="K46" s="22" t="inlineStr">
        <is>
          <t>80х6</t>
        </is>
      </c>
    </row>
    <row r="47">
      <c r="A47" s="23" t="inlineStr">
        <is>
          <t>ТСЛ-1600 (Электрощит)</t>
        </is>
      </c>
      <c r="B47" s="23" t="inlineStr">
        <is>
          <t>Электрощит</t>
        </is>
      </c>
      <c r="C47" s="23" t="n">
        <v>1600</v>
      </c>
      <c r="D47" s="23" t="n">
        <v>1810</v>
      </c>
      <c r="E47" s="23" t="n">
        <v>1110</v>
      </c>
      <c r="F47" s="23" t="n">
        <v>2110</v>
      </c>
      <c r="G47" s="23" t="n">
        <v>4620</v>
      </c>
      <c r="H47" s="23" t="n">
        <v>2308</v>
      </c>
      <c r="I47" s="23" t="inlineStr">
        <is>
          <t>50х5</t>
        </is>
      </c>
      <c r="J47" s="23" t="inlineStr">
        <is>
          <t>2х(100х10)</t>
        </is>
      </c>
      <c r="K47" s="23" t="inlineStr">
        <is>
          <t>100х8</t>
        </is>
      </c>
    </row>
    <row r="48">
      <c r="A48" s="22" t="inlineStr">
        <is>
          <t>ТСЛ-2500 (Электрощит)</t>
        </is>
      </c>
      <c r="B48" s="22" t="inlineStr">
        <is>
          <t>Электрощит</t>
        </is>
      </c>
      <c r="C48" s="22" t="n">
        <v>2500</v>
      </c>
      <c r="D48" s="22" t="n">
        <v>2010</v>
      </c>
      <c r="E48" s="22" t="n">
        <v>1210</v>
      </c>
      <c r="F48" s="22" t="n">
        <v>2360</v>
      </c>
      <c r="G48" s="22" t="n">
        <v>6720</v>
      </c>
      <c r="H48" s="22" t="n">
        <v>3607</v>
      </c>
      <c r="I48" s="22" t="inlineStr">
        <is>
          <t>50х5</t>
        </is>
      </c>
      <c r="J48" s="22" t="inlineStr">
        <is>
          <t>3х(100х10)</t>
        </is>
      </c>
      <c r="K48" s="22" t="inlineStr">
        <is>
          <t>100х10</t>
        </is>
      </c>
    </row>
    <row r="49">
      <c r="A49" s="23" t="inlineStr">
        <is>
          <t>ТСЛ-250 (Трансформер)</t>
        </is>
      </c>
      <c r="B49" s="23" t="inlineStr">
        <is>
          <t>Трансформер</t>
        </is>
      </c>
      <c r="C49" s="23" t="n">
        <v>250</v>
      </c>
      <c r="D49" s="23" t="n">
        <v>1210</v>
      </c>
      <c r="E49" s="23" t="n">
        <v>760</v>
      </c>
      <c r="F49" s="23" t="n">
        <v>1310</v>
      </c>
      <c r="G49" s="23" t="n">
        <v>1160</v>
      </c>
      <c r="H49" s="23" t="n">
        <v>360</v>
      </c>
      <c r="I49" s="23" t="inlineStr">
        <is>
          <t>50х5</t>
        </is>
      </c>
      <c r="J49" s="23" t="inlineStr">
        <is>
          <t>40х5</t>
        </is>
      </c>
      <c r="K49" s="23" t="inlineStr">
        <is>
          <t>40х4</t>
        </is>
      </c>
    </row>
    <row r="50">
      <c r="A50" s="22" t="inlineStr">
        <is>
          <t>ТСЛ-400 (Трансформер)</t>
        </is>
      </c>
      <c r="B50" s="22" t="inlineStr">
        <is>
          <t>Трансформер</t>
        </is>
      </c>
      <c r="C50" s="22" t="n">
        <v>400</v>
      </c>
      <c r="D50" s="22" t="n">
        <v>1360</v>
      </c>
      <c r="E50" s="22" t="n">
        <v>860</v>
      </c>
      <c r="F50" s="22" t="n">
        <v>1460</v>
      </c>
      <c r="G50" s="22" t="n">
        <v>1610</v>
      </c>
      <c r="H50" s="22" t="n">
        <v>577</v>
      </c>
      <c r="I50" s="22" t="inlineStr">
        <is>
          <t>50х5</t>
        </is>
      </c>
      <c r="J50" s="22" t="inlineStr">
        <is>
          <t>50х5</t>
        </is>
      </c>
      <c r="K50" s="22" t="inlineStr">
        <is>
          <t>40х5</t>
        </is>
      </c>
    </row>
    <row r="51">
      <c r="A51" s="23" t="inlineStr">
        <is>
          <t>ТСЛ-630 (Трансформер)</t>
        </is>
      </c>
      <c r="B51" s="23" t="inlineStr">
        <is>
          <t>Трансформер</t>
        </is>
      </c>
      <c r="C51" s="23" t="n">
        <v>630</v>
      </c>
      <c r="D51" s="23" t="n">
        <v>1460</v>
      </c>
      <c r="E51" s="23" t="n">
        <v>910</v>
      </c>
      <c r="F51" s="23" t="n">
        <v>1610</v>
      </c>
      <c r="G51" s="23" t="n">
        <v>2110</v>
      </c>
      <c r="H51" s="23" t="n">
        <v>909</v>
      </c>
      <c r="I51" s="23" t="inlineStr">
        <is>
          <t>50х5</t>
        </is>
      </c>
      <c r="J51" s="23" t="inlineStr">
        <is>
          <t>80х6</t>
        </is>
      </c>
      <c r="K51" s="23" t="inlineStr">
        <is>
          <t>50х5</t>
        </is>
      </c>
    </row>
    <row r="52">
      <c r="A52" s="22" t="inlineStr">
        <is>
          <t>ТСЛ-1000 (Трансформер)</t>
        </is>
      </c>
      <c r="B52" s="22" t="inlineStr">
        <is>
          <t>Трансформер</t>
        </is>
      </c>
      <c r="C52" s="22" t="n">
        <v>1000</v>
      </c>
      <c r="D52" s="22" t="n">
        <v>1610</v>
      </c>
      <c r="E52" s="22" t="n">
        <v>1010</v>
      </c>
      <c r="F52" s="22" t="n">
        <v>1860</v>
      </c>
      <c r="G52" s="22" t="n">
        <v>3110</v>
      </c>
      <c r="H52" s="22" t="n">
        <v>1443</v>
      </c>
      <c r="I52" s="22" t="inlineStr">
        <is>
          <t>50х5</t>
        </is>
      </c>
      <c r="J52" s="22" t="inlineStr">
        <is>
          <t>100х8</t>
        </is>
      </c>
      <c r="K52" s="22" t="inlineStr">
        <is>
          <t>80х6</t>
        </is>
      </c>
    </row>
    <row r="53">
      <c r="A53" s="23" t="inlineStr">
        <is>
          <t>ТСЛ-1600 (Трансформер)</t>
        </is>
      </c>
      <c r="B53" s="23" t="inlineStr">
        <is>
          <t>Трансформер</t>
        </is>
      </c>
      <c r="C53" s="23" t="n">
        <v>1600</v>
      </c>
      <c r="D53" s="23" t="n">
        <v>1810</v>
      </c>
      <c r="E53" s="23" t="n">
        <v>1110</v>
      </c>
      <c r="F53" s="23" t="n">
        <v>2110</v>
      </c>
      <c r="G53" s="23" t="n">
        <v>4610</v>
      </c>
      <c r="H53" s="23" t="n">
        <v>2308</v>
      </c>
      <c r="I53" s="23" t="inlineStr">
        <is>
          <t>50х5</t>
        </is>
      </c>
      <c r="J53" s="23" t="inlineStr">
        <is>
          <t>2х(100х10)</t>
        </is>
      </c>
      <c r="K53" s="23" t="inlineStr">
        <is>
          <t>100х8</t>
        </is>
      </c>
    </row>
    <row r="54">
      <c r="A54" s="22" t="inlineStr">
        <is>
          <t>ТСЛ-2500 (Трансформер)</t>
        </is>
      </c>
      <c r="B54" s="22" t="inlineStr">
        <is>
          <t>Трансформер</t>
        </is>
      </c>
      <c r="C54" s="22" t="n">
        <v>2500</v>
      </c>
      <c r="D54" s="22" t="n">
        <v>2010</v>
      </c>
      <c r="E54" s="22" t="n">
        <v>1210</v>
      </c>
      <c r="F54" s="22" t="n">
        <v>2360</v>
      </c>
      <c r="G54" s="22" t="n">
        <v>6710</v>
      </c>
      <c r="H54" s="22" t="n">
        <v>3607</v>
      </c>
      <c r="I54" s="22" t="inlineStr">
        <is>
          <t>50х5</t>
        </is>
      </c>
      <c r="J54" s="22" t="inlineStr">
        <is>
          <t>3х(100х10)</t>
        </is>
      </c>
      <c r="K54" s="22" t="inlineStr">
        <is>
          <t>100х10</t>
        </is>
      </c>
    </row>
    <row r="55">
      <c r="A55" s="23" t="inlineStr">
        <is>
          <t>ТМГ-25 (Алагеум)</t>
        </is>
      </c>
      <c r="B55" s="23" t="inlineStr">
        <is>
          <t>Алагеум</t>
        </is>
      </c>
      <c r="C55" s="23" t="n">
        <v>25</v>
      </c>
      <c r="D55" s="23" t="n">
        <v>780</v>
      </c>
      <c r="E55" s="23" t="n">
        <v>440</v>
      </c>
      <c r="F55" s="23" t="n">
        <v>910</v>
      </c>
      <c r="G55" s="23" t="n">
        <v>255</v>
      </c>
      <c r="H55" s="23" t="n">
        <v>36</v>
      </c>
      <c r="I55" s="23" t="inlineStr">
        <is>
          <t>50х5</t>
        </is>
      </c>
      <c r="J55" s="23" t="inlineStr">
        <is>
          <t>40х4</t>
        </is>
      </c>
      <c r="K55" s="23" t="inlineStr">
        <is>
          <t>40х4</t>
        </is>
      </c>
    </row>
    <row r="56">
      <c r="A56" s="22" t="inlineStr">
        <is>
          <t>ТМГ-40 (Алагеум)</t>
        </is>
      </c>
      <c r="B56" s="22" t="inlineStr">
        <is>
          <t>Алагеум</t>
        </is>
      </c>
      <c r="C56" s="22" t="n">
        <v>40</v>
      </c>
      <c r="D56" s="22" t="n">
        <v>830</v>
      </c>
      <c r="E56" s="22" t="n">
        <v>440</v>
      </c>
      <c r="F56" s="22" t="n">
        <v>960</v>
      </c>
      <c r="G56" s="22" t="n">
        <v>310</v>
      </c>
      <c r="H56" s="22" t="n">
        <v>57</v>
      </c>
      <c r="I56" s="22" t="inlineStr">
        <is>
          <t>50х5</t>
        </is>
      </c>
      <c r="J56" s="22" t="inlineStr">
        <is>
          <t>40х4</t>
        </is>
      </c>
      <c r="K56" s="22" t="inlineStr">
        <is>
          <t>40х4</t>
        </is>
      </c>
    </row>
    <row r="57">
      <c r="A57" s="23" t="inlineStr">
        <is>
          <t>ТМГ-63 (Алагеум)</t>
        </is>
      </c>
      <c r="B57" s="23" t="inlineStr">
        <is>
          <t>Алагеум</t>
        </is>
      </c>
      <c r="C57" s="23" t="n">
        <v>63</v>
      </c>
      <c r="D57" s="23" t="n">
        <v>810</v>
      </c>
      <c r="E57" s="23" t="n">
        <v>580</v>
      </c>
      <c r="F57" s="23" t="n">
        <v>930</v>
      </c>
      <c r="G57" s="23" t="n">
        <v>380</v>
      </c>
      <c r="H57" s="23" t="n">
        <v>90</v>
      </c>
      <c r="I57" s="23" t="inlineStr">
        <is>
          <t>50х5</t>
        </is>
      </c>
      <c r="J57" s="23" t="inlineStr">
        <is>
          <t>40х4</t>
        </is>
      </c>
      <c r="K57" s="23" t="inlineStr">
        <is>
          <t>40х4</t>
        </is>
      </c>
    </row>
    <row r="58">
      <c r="A58" s="22" t="inlineStr">
        <is>
          <t>ТМГ-100 (Алагеум)</t>
        </is>
      </c>
      <c r="B58" s="22" t="inlineStr">
        <is>
          <t>Алагеум</t>
        </is>
      </c>
      <c r="C58" s="22" t="n">
        <v>100</v>
      </c>
      <c r="D58" s="22" t="n">
        <v>830</v>
      </c>
      <c r="E58" s="22" t="n">
        <v>650</v>
      </c>
      <c r="F58" s="22" t="n">
        <v>1050</v>
      </c>
      <c r="G58" s="22" t="n">
        <v>490</v>
      </c>
      <c r="H58" s="22" t="n">
        <v>144</v>
      </c>
      <c r="I58" s="22" t="inlineStr">
        <is>
          <t>50х5</t>
        </is>
      </c>
      <c r="J58" s="22" t="inlineStr">
        <is>
          <t>40х4</t>
        </is>
      </c>
      <c r="K58" s="22" t="inlineStr">
        <is>
          <t>40х4</t>
        </is>
      </c>
    </row>
    <row r="59">
      <c r="A59" s="23" t="inlineStr">
        <is>
          <t>ТМГ-160 (Алагеум)</t>
        </is>
      </c>
      <c r="B59" s="23" t="inlineStr">
        <is>
          <t>Алагеум</t>
        </is>
      </c>
      <c r="C59" s="23" t="n">
        <v>160</v>
      </c>
      <c r="D59" s="23" t="n">
        <v>930</v>
      </c>
      <c r="E59" s="23" t="n">
        <v>780</v>
      </c>
      <c r="F59" s="23" t="n">
        <v>1050</v>
      </c>
      <c r="G59" s="23" t="n">
        <v>680</v>
      </c>
      <c r="H59" s="23" t="n">
        <v>230</v>
      </c>
      <c r="I59" s="23" t="inlineStr">
        <is>
          <t>50х5</t>
        </is>
      </c>
      <c r="J59" s="23" t="inlineStr">
        <is>
          <t>40х4</t>
        </is>
      </c>
      <c r="K59" s="23" t="inlineStr">
        <is>
          <t>40х4</t>
        </is>
      </c>
    </row>
    <row r="60">
      <c r="A60" s="22" t="inlineStr">
        <is>
          <t>ТМГ-250 (Алагеум)</t>
        </is>
      </c>
      <c r="B60" s="22" t="inlineStr">
        <is>
          <t>Алагеум</t>
        </is>
      </c>
      <c r="C60" s="22" t="n">
        <v>250</v>
      </c>
      <c r="D60" s="22" t="n">
        <v>1100</v>
      </c>
      <c r="E60" s="22" t="n">
        <v>840</v>
      </c>
      <c r="F60" s="22" t="n">
        <v>1130</v>
      </c>
      <c r="G60" s="22" t="n">
        <v>900</v>
      </c>
      <c r="H60" s="22" t="n">
        <v>360</v>
      </c>
      <c r="I60" s="22" t="inlineStr">
        <is>
          <t>50х5</t>
        </is>
      </c>
      <c r="J60" s="22" t="inlineStr">
        <is>
          <t>40х5</t>
        </is>
      </c>
      <c r="K60" s="22" t="inlineStr">
        <is>
          <t>40х4</t>
        </is>
      </c>
    </row>
    <row r="61">
      <c r="A61" s="23" t="inlineStr">
        <is>
          <t>ТМГ-400 (Алагеум)</t>
        </is>
      </c>
      <c r="B61" s="23" t="inlineStr">
        <is>
          <t>Алагеум</t>
        </is>
      </c>
      <c r="C61" s="23" t="n">
        <v>400</v>
      </c>
      <c r="D61" s="23" t="n">
        <v>1260</v>
      </c>
      <c r="E61" s="23" t="n">
        <v>960</v>
      </c>
      <c r="F61" s="23" t="n">
        <v>1240</v>
      </c>
      <c r="G61" s="23" t="n">
        <v>1200</v>
      </c>
      <c r="H61" s="23" t="n">
        <v>577</v>
      </c>
      <c r="I61" s="23" t="inlineStr">
        <is>
          <t>50х5</t>
        </is>
      </c>
      <c r="J61" s="23" t="inlineStr">
        <is>
          <t>50х5</t>
        </is>
      </c>
      <c r="K61" s="23" t="inlineStr">
        <is>
          <t>40х5</t>
        </is>
      </c>
    </row>
    <row r="62">
      <c r="A62" s="22" t="inlineStr">
        <is>
          <t>ТМГ-630 (Алагеум)</t>
        </is>
      </c>
      <c r="B62" s="22" t="inlineStr">
        <is>
          <t>Алагеум</t>
        </is>
      </c>
      <c r="C62" s="22" t="n">
        <v>630</v>
      </c>
      <c r="D62" s="22" t="n">
        <v>1450</v>
      </c>
      <c r="E62" s="22" t="n">
        <v>1000</v>
      </c>
      <c r="F62" s="22" t="n">
        <v>1430</v>
      </c>
      <c r="G62" s="22" t="n">
        <v>1720</v>
      </c>
      <c r="H62" s="22" t="n">
        <v>909</v>
      </c>
      <c r="I62" s="22" t="inlineStr">
        <is>
          <t>50х5</t>
        </is>
      </c>
      <c r="J62" s="22" t="inlineStr">
        <is>
          <t>80х6</t>
        </is>
      </c>
      <c r="K62" s="22" t="inlineStr">
        <is>
          <t>50х5</t>
        </is>
      </c>
    </row>
    <row r="63">
      <c r="A63" s="23" t="inlineStr">
        <is>
          <t>ТМГ-1000 (Алагеум)</t>
        </is>
      </c>
      <c r="B63" s="23" t="inlineStr">
        <is>
          <t>Алагеум</t>
        </is>
      </c>
      <c r="C63" s="23" t="n">
        <v>1000</v>
      </c>
      <c r="D63" s="23" t="n">
        <v>1740</v>
      </c>
      <c r="E63" s="23" t="n">
        <v>1130</v>
      </c>
      <c r="F63" s="23" t="n">
        <v>1450</v>
      </c>
      <c r="G63" s="23" t="n">
        <v>2400</v>
      </c>
      <c r="H63" s="23" t="n">
        <v>1443</v>
      </c>
      <c r="I63" s="23" t="inlineStr">
        <is>
          <t>50х5</t>
        </is>
      </c>
      <c r="J63" s="23" t="inlineStr">
        <is>
          <t>100х8</t>
        </is>
      </c>
      <c r="K63" s="23" t="inlineStr">
        <is>
          <t>80х6</t>
        </is>
      </c>
    </row>
    <row r="64">
      <c r="A64" s="22" t="inlineStr">
        <is>
          <t>ТМГ-1250 (Алагеум)</t>
        </is>
      </c>
      <c r="B64" s="22" t="inlineStr">
        <is>
          <t>Алагеум</t>
        </is>
      </c>
      <c r="C64" s="22" t="n">
        <v>1250</v>
      </c>
      <c r="D64" s="22" t="n">
        <v>1790</v>
      </c>
      <c r="E64" s="22" t="n">
        <v>1070</v>
      </c>
      <c r="F64" s="22" t="n">
        <v>1860</v>
      </c>
      <c r="G64" s="22" t="n">
        <v>3140</v>
      </c>
      <c r="H64" s="22" t="n">
        <v>1803</v>
      </c>
      <c r="I64" s="22" t="inlineStr">
        <is>
          <t>50х5</t>
        </is>
      </c>
      <c r="J64" s="22" t="inlineStr">
        <is>
          <t>2х(80х8)</t>
        </is>
      </c>
      <c r="K64" s="22" t="inlineStr">
        <is>
          <t>80х8</t>
        </is>
      </c>
    </row>
    <row r="65">
      <c r="A65" s="23" t="inlineStr">
        <is>
          <t>ТМГ-1600 (Алагеум)</t>
        </is>
      </c>
      <c r="B65" s="23" t="inlineStr">
        <is>
          <t>Алагеум</t>
        </is>
      </c>
      <c r="C65" s="23" t="n">
        <v>1600</v>
      </c>
      <c r="D65" s="23" t="n">
        <v>1960</v>
      </c>
      <c r="E65" s="23" t="n">
        <v>1150</v>
      </c>
      <c r="F65" s="23" t="n">
        <v>1840</v>
      </c>
      <c r="G65" s="23" t="n">
        <v>3500</v>
      </c>
      <c r="H65" s="23" t="n">
        <v>2308</v>
      </c>
      <c r="I65" s="23" t="inlineStr">
        <is>
          <t>50х5</t>
        </is>
      </c>
      <c r="J65" s="23" t="inlineStr">
        <is>
          <t>2х(100х10)</t>
        </is>
      </c>
      <c r="K65" s="23" t="inlineStr">
        <is>
          <t>100х8</t>
        </is>
      </c>
    </row>
    <row r="66">
      <c r="A66" s="22" t="inlineStr">
        <is>
          <t>ТМГ-2500 (Алагеум)</t>
        </is>
      </c>
      <c r="B66" s="22" t="inlineStr">
        <is>
          <t>Алагеум</t>
        </is>
      </c>
      <c r="C66" s="22" t="n">
        <v>2500</v>
      </c>
      <c r="D66" s="22" t="n">
        <v>2300</v>
      </c>
      <c r="E66" s="22" t="n">
        <v>1350</v>
      </c>
      <c r="F66" s="22" t="n">
        <v>2100</v>
      </c>
      <c r="G66" s="22" t="n">
        <v>5500</v>
      </c>
      <c r="H66" s="22" t="n">
        <v>3607</v>
      </c>
      <c r="I66" s="22" t="inlineStr">
        <is>
          <t>50х5</t>
        </is>
      </c>
      <c r="J66" s="22" t="inlineStr">
        <is>
          <t>3х(100х10)</t>
        </is>
      </c>
      <c r="K66" s="22" t="inlineStr">
        <is>
          <t>100х10</t>
        </is>
      </c>
    </row>
    <row r="67">
      <c r="A67" s="23" t="inlineStr">
        <is>
          <t>ТСЛ-250 (Алагеум)</t>
        </is>
      </c>
      <c r="B67" s="23" t="inlineStr">
        <is>
          <t>Алагеум</t>
        </is>
      </c>
      <c r="C67" s="23" t="n">
        <v>250</v>
      </c>
      <c r="D67" s="23" t="n">
        <v>1200</v>
      </c>
      <c r="E67" s="23" t="n">
        <v>750</v>
      </c>
      <c r="F67" s="23" t="n">
        <v>1300</v>
      </c>
      <c r="G67" s="23" t="n">
        <v>1150</v>
      </c>
      <c r="H67" s="23" t="n">
        <v>360</v>
      </c>
      <c r="I67" s="23" t="inlineStr">
        <is>
          <t>50х5</t>
        </is>
      </c>
      <c r="J67" s="23" t="inlineStr">
        <is>
          <t>40х5</t>
        </is>
      </c>
      <c r="K67" s="23" t="inlineStr">
        <is>
          <t>40х4</t>
        </is>
      </c>
    </row>
    <row r="68">
      <c r="A68" s="22" t="inlineStr">
        <is>
          <t>ТСЛ-400 (Алагеум)</t>
        </is>
      </c>
      <c r="B68" s="22" t="inlineStr">
        <is>
          <t>Алагеум</t>
        </is>
      </c>
      <c r="C68" s="22" t="n">
        <v>400</v>
      </c>
      <c r="D68" s="22" t="n">
        <v>1350</v>
      </c>
      <c r="E68" s="22" t="n">
        <v>850</v>
      </c>
      <c r="F68" s="22" t="n">
        <v>1450</v>
      </c>
      <c r="G68" s="22" t="n">
        <v>1600</v>
      </c>
      <c r="H68" s="22" t="n">
        <v>577</v>
      </c>
      <c r="I68" s="22" t="inlineStr">
        <is>
          <t>50х5</t>
        </is>
      </c>
      <c r="J68" s="22" t="inlineStr">
        <is>
          <t>50х5</t>
        </is>
      </c>
      <c r="K68" s="22" t="inlineStr">
        <is>
          <t>40х5</t>
        </is>
      </c>
    </row>
    <row r="69">
      <c r="A69" s="23" t="inlineStr">
        <is>
          <t>ТСЛ-630 (Алагеум)</t>
        </is>
      </c>
      <c r="B69" s="23" t="inlineStr">
        <is>
          <t>Алагеум</t>
        </is>
      </c>
      <c r="C69" s="23" t="n">
        <v>630</v>
      </c>
      <c r="D69" s="23" t="n">
        <v>1450</v>
      </c>
      <c r="E69" s="23" t="n">
        <v>900</v>
      </c>
      <c r="F69" s="23" t="n">
        <v>1600</v>
      </c>
      <c r="G69" s="23" t="n">
        <v>2100</v>
      </c>
      <c r="H69" s="23" t="n">
        <v>909</v>
      </c>
      <c r="I69" s="23" t="inlineStr">
        <is>
          <t>50х5</t>
        </is>
      </c>
      <c r="J69" s="23" t="inlineStr">
        <is>
          <t>80х6</t>
        </is>
      </c>
      <c r="K69" s="23" t="inlineStr">
        <is>
          <t>50х5</t>
        </is>
      </c>
    </row>
    <row r="70">
      <c r="A70" s="22" t="inlineStr">
        <is>
          <t>ТСЛ-1000 (Алагеум)</t>
        </is>
      </c>
      <c r="B70" s="22" t="inlineStr">
        <is>
          <t>Алагеум</t>
        </is>
      </c>
      <c r="C70" s="22" t="n">
        <v>1000</v>
      </c>
      <c r="D70" s="22" t="n">
        <v>1600</v>
      </c>
      <c r="E70" s="22" t="n">
        <v>1000</v>
      </c>
      <c r="F70" s="22" t="n">
        <v>1850</v>
      </c>
      <c r="G70" s="22" t="n">
        <v>3100</v>
      </c>
      <c r="H70" s="22" t="n">
        <v>1443</v>
      </c>
      <c r="I70" s="22" t="inlineStr">
        <is>
          <t>50х5</t>
        </is>
      </c>
      <c r="J70" s="22" t="inlineStr">
        <is>
          <t>100х8</t>
        </is>
      </c>
      <c r="K70" s="22" t="inlineStr">
        <is>
          <t>80х6</t>
        </is>
      </c>
    </row>
    <row r="71">
      <c r="A71" s="23" t="inlineStr">
        <is>
          <t>ТСЛ-1250 (Алагеум)</t>
        </is>
      </c>
      <c r="B71" s="23" t="inlineStr">
        <is>
          <t>Алагеум</t>
        </is>
      </c>
      <c r="C71" s="23" t="n">
        <v>1250</v>
      </c>
      <c r="D71" s="23" t="n">
        <v>1700</v>
      </c>
      <c r="E71" s="23" t="n">
        <v>1050</v>
      </c>
      <c r="F71" s="23" t="n">
        <v>1950</v>
      </c>
      <c r="G71" s="23" t="n">
        <v>3800</v>
      </c>
      <c r="H71" s="23" t="n">
        <v>1803</v>
      </c>
      <c r="I71" s="23" t="inlineStr">
        <is>
          <t>50х5</t>
        </is>
      </c>
      <c r="J71" s="23" t="inlineStr">
        <is>
          <t>2х(80х8)</t>
        </is>
      </c>
      <c r="K71" s="23" t="inlineStr">
        <is>
          <t>80х8</t>
        </is>
      </c>
    </row>
    <row r="72">
      <c r="A72" s="22" t="inlineStr">
        <is>
          <t>ТСЛ-1600 (Алагеум)</t>
        </is>
      </c>
      <c r="B72" s="22" t="inlineStr">
        <is>
          <t>Алагеум</t>
        </is>
      </c>
      <c r="C72" s="22" t="n">
        <v>1600</v>
      </c>
      <c r="D72" s="22" t="n">
        <v>1800</v>
      </c>
      <c r="E72" s="22" t="n">
        <v>1100</v>
      </c>
      <c r="F72" s="22" t="n">
        <v>2100</v>
      </c>
      <c r="G72" s="22" t="n">
        <v>4600</v>
      </c>
      <c r="H72" s="22" t="n">
        <v>2308</v>
      </c>
      <c r="I72" s="22" t="inlineStr">
        <is>
          <t>50х5</t>
        </is>
      </c>
      <c r="J72" s="22" t="inlineStr">
        <is>
          <t>2х(100х10)</t>
        </is>
      </c>
      <c r="K72" s="22" t="inlineStr">
        <is>
          <t>100х8</t>
        </is>
      </c>
    </row>
    <row r="73">
      <c r="A73" s="23" t="inlineStr">
        <is>
          <t>ТСЛ-2000 (Алагеум)</t>
        </is>
      </c>
      <c r="B73" s="23" t="inlineStr">
        <is>
          <t>Алагеум</t>
        </is>
      </c>
      <c r="C73" s="23" t="n">
        <v>2000</v>
      </c>
      <c r="D73" s="23" t="n">
        <v>1900</v>
      </c>
      <c r="E73" s="23" t="n">
        <v>1150</v>
      </c>
      <c r="F73" s="23" t="n">
        <v>2200</v>
      </c>
      <c r="G73" s="23" t="n">
        <v>5600</v>
      </c>
      <c r="H73" s="23" t="n">
        <v>2886</v>
      </c>
      <c r="I73" s="23" t="inlineStr">
        <is>
          <t>50х5</t>
        </is>
      </c>
      <c r="J73" s="23" t="inlineStr">
        <is>
          <t>3х(100х10)</t>
        </is>
      </c>
      <c r="K73" s="23" t="inlineStr">
        <is>
          <t>100х10</t>
        </is>
      </c>
    </row>
    <row r="74">
      <c r="A74" s="22" t="inlineStr">
        <is>
          <t>ТСЛ-2500 (Алагеум)</t>
        </is>
      </c>
      <c r="B74" s="22" t="inlineStr">
        <is>
          <t>Алагеум</t>
        </is>
      </c>
      <c r="C74" s="22" t="n">
        <v>2500</v>
      </c>
      <c r="D74" s="22" t="n">
        <v>2000</v>
      </c>
      <c r="E74" s="22" t="n">
        <v>1200</v>
      </c>
      <c r="F74" s="22" t="n">
        <v>2350</v>
      </c>
      <c r="G74" s="22" t="n">
        <v>6700</v>
      </c>
      <c r="H74" s="22" t="n">
        <v>3607</v>
      </c>
      <c r="I74" s="22" t="inlineStr">
        <is>
          <t>50х5</t>
        </is>
      </c>
      <c r="J74" s="22" t="inlineStr">
        <is>
          <t>3х(100х10)</t>
        </is>
      </c>
      <c r="K74" s="22" t="inlineStr">
        <is>
          <t>100х10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43" customWidth="1" min="1" max="1"/>
    <col width="25" customWidth="1" min="2" max="2"/>
    <col width="19" customWidth="1" min="3" max="3"/>
    <col width="30" customWidth="1" min="4" max="4"/>
    <col width="34" customWidth="1" min="5" max="5"/>
  </cols>
  <sheetData>
    <row r="1">
      <c r="A1" s="24" t="inlineStr">
        <is>
          <t>Тип аппарата</t>
        </is>
      </c>
      <c r="B1" s="24" t="inlineStr">
        <is>
          <t>Производитель</t>
        </is>
      </c>
      <c r="C1" s="24" t="inlineStr">
        <is>
          <t>Страна / Статус</t>
        </is>
      </c>
      <c r="D1" s="24" t="inlineStr">
        <is>
          <t>Серия / Модель</t>
        </is>
      </c>
      <c r="E1" s="24" t="inlineStr">
        <is>
          <t>Диапазон номинальных токов (А)</t>
        </is>
      </c>
    </row>
    <row r="2">
      <c r="A2" s="22" t="inlineStr">
        <is>
          <t>Автоматический выключатель (АВ)</t>
        </is>
      </c>
      <c r="B2" s="22" t="inlineStr">
        <is>
          <t>КЭАЗ</t>
        </is>
      </c>
      <c r="C2" s="22" t="inlineStr">
        <is>
          <t>Россия</t>
        </is>
      </c>
      <c r="D2" s="22" t="inlineStr">
        <is>
          <t>OptiMat D, OptiMat A, ВА57</t>
        </is>
      </c>
      <c r="E2" s="22" t="inlineStr">
        <is>
          <t>16 - 4000 А</t>
        </is>
      </c>
    </row>
    <row r="3">
      <c r="A3" s="23" t="inlineStr">
        <is>
          <t>Автоматический выключатель (АВ)</t>
        </is>
      </c>
      <c r="B3" s="23" t="inlineStr">
        <is>
          <t>Контактор</t>
        </is>
      </c>
      <c r="C3" s="23" t="inlineStr">
        <is>
          <t>Россия</t>
        </is>
      </c>
      <c r="D3" s="23" t="inlineStr">
        <is>
          <t>ПРОТОН, ЭЛЕКТРОН, ВА</t>
        </is>
      </c>
      <c r="E3" s="23" t="inlineStr">
        <is>
          <t>16 - 6300 А</t>
        </is>
      </c>
    </row>
    <row r="4">
      <c r="A4" s="22" t="inlineStr">
        <is>
          <t>Автоматический выключатель (АВ)</t>
        </is>
      </c>
      <c r="B4" s="22" t="inlineStr">
        <is>
          <t>IEK</t>
        </is>
      </c>
      <c r="C4" s="22" t="inlineStr">
        <is>
          <t>Россия / Китай</t>
        </is>
      </c>
      <c r="D4" s="22" t="inlineStr">
        <is>
          <t>ВА88, ВА07</t>
        </is>
      </c>
      <c r="E4" s="22" t="inlineStr">
        <is>
          <t>16 - 2000 А</t>
        </is>
      </c>
    </row>
    <row r="5">
      <c r="A5" s="23" t="inlineStr">
        <is>
          <t>Автоматический выключатель (АВ)</t>
        </is>
      </c>
      <c r="B5" s="23" t="inlineStr">
        <is>
          <t>EKF</t>
        </is>
      </c>
      <c r="C5" s="23" t="inlineStr">
        <is>
          <t>Россия / Китай</t>
        </is>
      </c>
      <c r="D5" s="23" t="inlineStr">
        <is>
          <t>AVERES, PROxima</t>
        </is>
      </c>
      <c r="E5" s="23" t="inlineStr">
        <is>
          <t>16 - 4000 А</t>
        </is>
      </c>
    </row>
    <row r="6">
      <c r="A6" s="22" t="inlineStr">
        <is>
          <t>Автоматический выключатель (АВ)</t>
        </is>
      </c>
      <c r="B6" s="22" t="inlineStr">
        <is>
          <t>ДКС (DKC)</t>
        </is>
      </c>
      <c r="C6" s="22" t="inlineStr">
        <is>
          <t>Россия</t>
        </is>
      </c>
      <c r="D6" s="22" t="inlineStr">
        <is>
          <t>YON MAX</t>
        </is>
      </c>
      <c r="E6" s="22" t="inlineStr">
        <is>
          <t>16 - 1600 А</t>
        </is>
      </c>
    </row>
    <row r="7">
      <c r="A7" s="23" t="inlineStr">
        <is>
          <t>Автоматический выключатель (АВ)</t>
        </is>
      </c>
      <c r="B7" s="23" t="inlineStr">
        <is>
          <t>CHINT</t>
        </is>
      </c>
      <c r="C7" s="23" t="inlineStr">
        <is>
          <t>Китай</t>
        </is>
      </c>
      <c r="D7" s="23" t="inlineStr">
        <is>
          <t>NM8N, NXm, NA8G</t>
        </is>
      </c>
      <c r="E7" s="23" t="inlineStr">
        <is>
          <t>16 - 6300 А</t>
        </is>
      </c>
    </row>
    <row r="8">
      <c r="A8" s="22" t="inlineStr">
        <is>
          <t>Рубильник открытый (РЕ)</t>
        </is>
      </c>
      <c r="B8" s="22" t="inlineStr">
        <is>
          <t>КЭАЗ</t>
        </is>
      </c>
      <c r="C8" s="22" t="inlineStr">
        <is>
          <t>Россия</t>
        </is>
      </c>
      <c r="D8" s="22" t="inlineStr">
        <is>
          <t>РЕ19, ВР32</t>
        </is>
      </c>
      <c r="E8" s="22" t="inlineStr">
        <is>
          <t>100 - 4000 А</t>
        </is>
      </c>
    </row>
    <row r="9">
      <c r="A9" s="23" t="inlineStr">
        <is>
          <t>Рубильник открытый (РЕ)</t>
        </is>
      </c>
      <c r="B9" s="23" t="inlineStr">
        <is>
          <t>Кореневский завод НВА</t>
        </is>
      </c>
      <c r="C9" s="23" t="inlineStr">
        <is>
          <t>Россия</t>
        </is>
      </c>
      <c r="D9" s="23" t="inlineStr">
        <is>
          <t>ВР32, РЕ19</t>
        </is>
      </c>
      <c r="E9" s="23" t="inlineStr">
        <is>
          <t>100 - 1000 А</t>
        </is>
      </c>
    </row>
    <row r="10">
      <c r="A10" s="22" t="inlineStr">
        <is>
          <t>Рубильник открытый (РЕ)</t>
        </is>
      </c>
      <c r="B10" s="22" t="inlineStr">
        <is>
          <t>IEK</t>
        </is>
      </c>
      <c r="C10" s="22" t="inlineStr">
        <is>
          <t>Россия / Китай</t>
        </is>
      </c>
      <c r="D10" s="22" t="inlineStr">
        <is>
          <t>ВР32</t>
        </is>
      </c>
      <c r="E10" s="22" t="inlineStr">
        <is>
          <t>100 - 630 А</t>
        </is>
      </c>
    </row>
    <row r="11">
      <c r="A11" s="23" t="inlineStr">
        <is>
          <t>Рубильник открытый (РЕ)</t>
        </is>
      </c>
      <c r="B11" s="23" t="inlineStr">
        <is>
          <t>CHINT</t>
        </is>
      </c>
      <c r="C11" s="23" t="inlineStr">
        <is>
          <t>Китай</t>
        </is>
      </c>
      <c r="D11" s="23" t="inlineStr">
        <is>
          <t>NH40</t>
        </is>
      </c>
      <c r="E11" s="23" t="inlineStr">
        <is>
          <t>160 - 3150 А</t>
        </is>
      </c>
    </row>
    <row r="12">
      <c r="A12" s="22" t="inlineStr">
        <is>
          <t>Рубильник с предохранителями (РПС)</t>
        </is>
      </c>
      <c r="B12" s="22" t="inlineStr">
        <is>
          <t>Кореневский завод НВА</t>
        </is>
      </c>
      <c r="C12" s="22" t="inlineStr">
        <is>
          <t>Россия</t>
        </is>
      </c>
      <c r="D12" s="22" t="inlineStr">
        <is>
          <t>РПС, РПБ</t>
        </is>
      </c>
      <c r="E12" s="22" t="inlineStr">
        <is>
          <t>100 - 630 А</t>
        </is>
      </c>
    </row>
    <row r="13">
      <c r="A13" s="23" t="inlineStr">
        <is>
          <t>Рубильник с предохранителями (РПС)</t>
        </is>
      </c>
      <c r="B13" s="23" t="inlineStr">
        <is>
          <t>КЭАЗ</t>
        </is>
      </c>
      <c r="C13" s="23" t="inlineStr">
        <is>
          <t>Россия</t>
        </is>
      </c>
      <c r="D13" s="23" t="inlineStr">
        <is>
          <t>РПС</t>
        </is>
      </c>
      <c r="E13" s="23" t="inlineStr">
        <is>
          <t>100 - 630 А</t>
        </is>
      </c>
    </row>
    <row r="14">
      <c r="A14" s="22" t="inlineStr">
        <is>
          <t>Рубильник с предохранителями (РПС)</t>
        </is>
      </c>
      <c r="B14" s="22" t="inlineStr">
        <is>
          <t>CHINT</t>
        </is>
      </c>
      <c r="C14" s="22" t="inlineStr">
        <is>
          <t>Китай</t>
        </is>
      </c>
      <c r="D14" s="22" t="inlineStr">
        <is>
          <t>HR17 (с планками)</t>
        </is>
      </c>
      <c r="E14" s="22" t="inlineStr">
        <is>
          <t>160 - 630 А</t>
        </is>
      </c>
    </row>
    <row r="15">
      <c r="A15" s="23" t="inlineStr">
        <is>
          <t>Предохранитель-разъединитель (ПВР / NH)</t>
        </is>
      </c>
      <c r="B15" s="23" t="inlineStr">
        <is>
          <t>КЭАЗ</t>
        </is>
      </c>
      <c r="C15" s="23" t="inlineStr">
        <is>
          <t>Россия</t>
        </is>
      </c>
      <c r="D15" s="23" t="inlineStr">
        <is>
          <t>OptiVert</t>
        </is>
      </c>
      <c r="E15" s="23" t="inlineStr">
        <is>
          <t>160 - 1250 А</t>
        </is>
      </c>
    </row>
    <row r="16">
      <c r="A16" s="22" t="inlineStr">
        <is>
          <t>Предохранитель-разъединитель (ПВР / NH)</t>
        </is>
      </c>
      <c r="B16" s="22" t="inlineStr">
        <is>
          <t>IEK</t>
        </is>
      </c>
      <c r="C16" s="22" t="inlineStr">
        <is>
          <t>Россия / Китай</t>
        </is>
      </c>
      <c r="D16" s="22" t="inlineStr">
        <is>
          <t>ПВР</t>
        </is>
      </c>
      <c r="E16" s="22" t="inlineStr">
        <is>
          <t>160 - 630 А</t>
        </is>
      </c>
    </row>
    <row r="17">
      <c r="A17" s="23" t="inlineStr">
        <is>
          <t>Предохранитель-разъединитель (ПВР / NH)</t>
        </is>
      </c>
      <c r="B17" s="23" t="inlineStr">
        <is>
          <t>EKF</t>
        </is>
      </c>
      <c r="C17" s="23" t="inlineStr">
        <is>
          <t>Россия / Китай</t>
        </is>
      </c>
      <c r="D17" s="23" t="inlineStr">
        <is>
          <t>ПВР PROxima</t>
        </is>
      </c>
      <c r="E17" s="23" t="inlineStr">
        <is>
          <t>160 - 630 А</t>
        </is>
      </c>
    </row>
    <row r="18">
      <c r="A18" s="22" t="inlineStr">
        <is>
          <t>Предохранитель-разъединитель (ПВР / NH)</t>
        </is>
      </c>
      <c r="B18" s="22" t="inlineStr">
        <is>
          <t>CHINT</t>
        </is>
      </c>
      <c r="C18" s="22" t="inlineStr">
        <is>
          <t>Китай</t>
        </is>
      </c>
      <c r="D18" s="22" t="inlineStr">
        <is>
          <t>NHR8, HR17</t>
        </is>
      </c>
      <c r="E18" s="22" t="inlineStr">
        <is>
          <t>160 - 630 А</t>
        </is>
      </c>
    </row>
    <row r="19">
      <c r="A19" s="23" t="inlineStr">
        <is>
          <t>Предохранитель-разъединитель (ПВР / NH)</t>
        </is>
      </c>
      <c r="B19" s="23" t="inlineStr">
        <is>
          <t>Апатор-Электро</t>
        </is>
      </c>
      <c r="C19" s="23" t="inlineStr">
        <is>
          <t>Россия</t>
        </is>
      </c>
      <c r="D19" s="23" t="inlineStr">
        <is>
          <t>ARS</t>
        </is>
      </c>
      <c r="E19" s="23" t="inlineStr">
        <is>
          <t>160 - 1250 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8" customWidth="1" min="3" max="3"/>
    <col width="14" customWidth="1" min="4" max="4"/>
    <col width="15" customWidth="1" min="5" max="5"/>
    <col width="15" customWidth="1" min="6" max="6"/>
    <col width="14" customWidth="1" min="7" max="7"/>
    <col width="19" customWidth="1" min="8" max="8"/>
    <col width="13" customWidth="1" min="9" max="9"/>
    <col width="20" customWidth="1" min="10" max="10"/>
    <col width="15" customWidth="1" min="11" max="11"/>
  </cols>
  <sheetData>
    <row r="1">
      <c r="A1" s="21" t="inlineStr">
        <is>
          <t>Марка</t>
        </is>
      </c>
      <c r="B1" s="21" t="inlineStr">
        <is>
          <t>Производитель</t>
        </is>
      </c>
      <c r="C1" s="21" t="inlineStr">
        <is>
          <t>Мощность (кВА)</t>
        </is>
      </c>
      <c r="D1" s="21" t="inlineStr">
        <is>
          <t>Длина (мм)</t>
        </is>
      </c>
      <c r="E1" s="21" t="inlineStr">
        <is>
          <t>Ширина (мм)</t>
        </is>
      </c>
      <c r="F1" s="21" t="inlineStr">
        <is>
          <t>Высота (мм)</t>
        </is>
      </c>
      <c r="G1" s="21" t="inlineStr">
        <is>
          <t>Масса (кг)</t>
        </is>
      </c>
      <c r="H1" s="21" t="inlineStr">
        <is>
          <t>Ном. Ток НН (А)</t>
        </is>
      </c>
      <c r="I1" s="21" t="inlineStr">
        <is>
          <t>Шины РУВН</t>
        </is>
      </c>
      <c r="J1" s="21" t="inlineStr">
        <is>
          <t>Шины РУНН (ввод)</t>
        </is>
      </c>
      <c r="K1" s="21" t="inlineStr">
        <is>
          <t>Шина PE/PEN</t>
        </is>
      </c>
    </row>
    <row r="2">
      <c r="A2" s="22" t="inlineStr">
        <is>
          <t>ТМГ-25</t>
        </is>
      </c>
      <c r="B2" s="22" t="inlineStr">
        <is>
          <t>Алттранс</t>
        </is>
      </c>
      <c r="C2" s="22" t="n">
        <v>25</v>
      </c>
      <c r="D2" s="22" t="n">
        <v>780</v>
      </c>
      <c r="E2" s="22" t="n">
        <v>440</v>
      </c>
      <c r="F2" s="22" t="n">
        <v>905</v>
      </c>
      <c r="G2" s="22" t="n">
        <v>260</v>
      </c>
      <c r="H2" s="22" t="n">
        <v>36</v>
      </c>
      <c r="I2" s="22" t="inlineStr">
        <is>
          <t>50х5</t>
        </is>
      </c>
      <c r="J2" s="22" t="inlineStr">
        <is>
          <t>40х4</t>
        </is>
      </c>
      <c r="K2" s="22" t="inlineStr">
        <is>
          <t>40х4</t>
        </is>
      </c>
    </row>
    <row r="3">
      <c r="A3" s="23" t="inlineStr">
        <is>
          <t>ТМГ-40</t>
        </is>
      </c>
      <c r="B3" s="23" t="inlineStr">
        <is>
          <t>Алттранс</t>
        </is>
      </c>
      <c r="C3" s="23" t="n">
        <v>40</v>
      </c>
      <c r="D3" s="23" t="n">
        <v>830</v>
      </c>
      <c r="E3" s="23" t="n">
        <v>440</v>
      </c>
      <c r="F3" s="23" t="n">
        <v>960</v>
      </c>
      <c r="G3" s="23" t="n">
        <v>310</v>
      </c>
      <c r="H3" s="23" t="n">
        <v>57</v>
      </c>
      <c r="I3" s="23" t="inlineStr">
        <is>
          <t>50х5</t>
        </is>
      </c>
      <c r="J3" s="23" t="inlineStr">
        <is>
          <t>40х4</t>
        </is>
      </c>
      <c r="K3" s="23" t="inlineStr">
        <is>
          <t>40х4</t>
        </is>
      </c>
    </row>
    <row r="4">
      <c r="A4" s="22" t="inlineStr">
        <is>
          <t>ТМГ-63</t>
        </is>
      </c>
      <c r="B4" s="22" t="inlineStr">
        <is>
          <t>Алттранс</t>
        </is>
      </c>
      <c r="C4" s="22" t="n">
        <v>63</v>
      </c>
      <c r="D4" s="22" t="n">
        <v>810</v>
      </c>
      <c r="E4" s="22" t="n">
        <v>575</v>
      </c>
      <c r="F4" s="22" t="n">
        <v>925</v>
      </c>
      <c r="G4" s="22" t="n">
        <v>380</v>
      </c>
      <c r="H4" s="22" t="n">
        <v>90</v>
      </c>
      <c r="I4" s="22" t="inlineStr">
        <is>
          <t>50х5</t>
        </is>
      </c>
      <c r="J4" s="22" t="inlineStr">
        <is>
          <t>40х4</t>
        </is>
      </c>
      <c r="K4" s="22" t="inlineStr">
        <is>
          <t>40х4</t>
        </is>
      </c>
    </row>
    <row r="5">
      <c r="A5" s="23" t="inlineStr">
        <is>
          <t>ТМГ-100</t>
        </is>
      </c>
      <c r="B5" s="23" t="inlineStr">
        <is>
          <t>Алттранс</t>
        </is>
      </c>
      <c r="C5" s="23" t="n">
        <v>100</v>
      </c>
      <c r="D5" s="23" t="n">
        <v>830</v>
      </c>
      <c r="E5" s="23" t="n">
        <v>645</v>
      </c>
      <c r="F5" s="23" t="n">
        <v>1045</v>
      </c>
      <c r="G5" s="23" t="n">
        <v>490</v>
      </c>
      <c r="H5" s="23" t="n">
        <v>144</v>
      </c>
      <c r="I5" s="23" t="inlineStr">
        <is>
          <t>50х5</t>
        </is>
      </c>
      <c r="J5" s="23" t="inlineStr">
        <is>
          <t>40х4</t>
        </is>
      </c>
      <c r="K5" s="23" t="inlineStr">
        <is>
          <t>40х4</t>
        </is>
      </c>
    </row>
    <row r="6">
      <c r="A6" s="22" t="inlineStr">
        <is>
          <t>ТМГ-160</t>
        </is>
      </c>
      <c r="B6" s="22" t="inlineStr">
        <is>
          <t>Алттранс</t>
        </is>
      </c>
      <c r="C6" s="22" t="n">
        <v>160</v>
      </c>
      <c r="D6" s="22" t="n">
        <v>925</v>
      </c>
      <c r="E6" s="22" t="n">
        <v>775</v>
      </c>
      <c r="F6" s="22" t="n">
        <v>1045</v>
      </c>
      <c r="G6" s="22" t="n">
        <v>680</v>
      </c>
      <c r="H6" s="22" t="n">
        <v>230</v>
      </c>
      <c r="I6" s="22" t="inlineStr">
        <is>
          <t>50х5</t>
        </is>
      </c>
      <c r="J6" s="22" t="inlineStr">
        <is>
          <t>40х4</t>
        </is>
      </c>
      <c r="K6" s="22" t="inlineStr">
        <is>
          <t>40х4</t>
        </is>
      </c>
    </row>
    <row r="7">
      <c r="A7" s="23" t="inlineStr">
        <is>
          <t>ТМГ-250</t>
        </is>
      </c>
      <c r="B7" s="23" t="inlineStr">
        <is>
          <t>Алттранс</t>
        </is>
      </c>
      <c r="C7" s="23" t="n">
        <v>250</v>
      </c>
      <c r="D7" s="23" t="n">
        <v>1110</v>
      </c>
      <c r="E7" s="23" t="n">
        <v>835</v>
      </c>
      <c r="F7" s="23" t="n">
        <v>1130</v>
      </c>
      <c r="G7" s="23" t="n">
        <v>895</v>
      </c>
      <c r="H7" s="23" t="n">
        <v>360</v>
      </c>
      <c r="I7" s="23" t="inlineStr">
        <is>
          <t>50х5</t>
        </is>
      </c>
      <c r="J7" s="23" t="inlineStr">
        <is>
          <t>40х5</t>
        </is>
      </c>
      <c r="K7" s="23" t="inlineStr">
        <is>
          <t>40х4</t>
        </is>
      </c>
    </row>
    <row r="8">
      <c r="A8" s="22" t="inlineStr">
        <is>
          <t>ТМГ-400</t>
        </is>
      </c>
      <c r="B8" s="22" t="inlineStr">
        <is>
          <t>Алттранс</t>
        </is>
      </c>
      <c r="C8" s="22" t="n">
        <v>400</v>
      </c>
      <c r="D8" s="22" t="n">
        <v>1255</v>
      </c>
      <c r="E8" s="22" t="n">
        <v>960</v>
      </c>
      <c r="F8" s="22" t="n">
        <v>1235</v>
      </c>
      <c r="G8" s="22" t="n">
        <v>1200</v>
      </c>
      <c r="H8" s="22" t="n">
        <v>577</v>
      </c>
      <c r="I8" s="22" t="inlineStr">
        <is>
          <t>50х5</t>
        </is>
      </c>
      <c r="J8" s="22" t="inlineStr">
        <is>
          <t>50х5</t>
        </is>
      </c>
      <c r="K8" s="22" t="inlineStr">
        <is>
          <t>40х5</t>
        </is>
      </c>
    </row>
    <row r="9">
      <c r="A9" s="23" t="inlineStr">
        <is>
          <t>ТМГ-630</t>
        </is>
      </c>
      <c r="B9" s="23" t="inlineStr">
        <is>
          <t>Алттранс</t>
        </is>
      </c>
      <c r="C9" s="23" t="n">
        <v>630</v>
      </c>
      <c r="D9" s="23" t="n">
        <v>1450</v>
      </c>
      <c r="E9" s="23" t="n">
        <v>1000</v>
      </c>
      <c r="F9" s="23" t="n">
        <v>1430</v>
      </c>
      <c r="G9" s="23" t="n">
        <v>1720</v>
      </c>
      <c r="H9" s="23" t="n">
        <v>909</v>
      </c>
      <c r="I9" s="23" t="inlineStr">
        <is>
          <t>50х5</t>
        </is>
      </c>
      <c r="J9" s="23" t="inlineStr">
        <is>
          <t>80х6</t>
        </is>
      </c>
      <c r="K9" s="23" t="inlineStr">
        <is>
          <t>50х5</t>
        </is>
      </c>
    </row>
    <row r="10">
      <c r="A10" s="22" t="inlineStr">
        <is>
          <t>ТМГ-1000</t>
        </is>
      </c>
      <c r="B10" s="22" t="inlineStr">
        <is>
          <t>Алттранс</t>
        </is>
      </c>
      <c r="C10" s="22" t="n">
        <v>1000</v>
      </c>
      <c r="D10" s="22" t="n">
        <v>1735</v>
      </c>
      <c r="E10" s="22" t="n">
        <v>1130</v>
      </c>
      <c r="F10" s="22" t="n">
        <v>1450</v>
      </c>
      <c r="G10" s="22" t="n">
        <v>2400</v>
      </c>
      <c r="H10" s="22" t="n">
        <v>1443</v>
      </c>
      <c r="I10" s="22" t="inlineStr">
        <is>
          <t>50х5</t>
        </is>
      </c>
      <c r="J10" s="22" t="inlineStr">
        <is>
          <t>100х8</t>
        </is>
      </c>
      <c r="K10" s="22" t="inlineStr">
        <is>
          <t>80х6</t>
        </is>
      </c>
    </row>
    <row r="11">
      <c r="A11" s="23" t="inlineStr">
        <is>
          <t>ТМГ-1250</t>
        </is>
      </c>
      <c r="B11" s="23" t="inlineStr">
        <is>
          <t>Алттранс</t>
        </is>
      </c>
      <c r="C11" s="23" t="n">
        <v>1250</v>
      </c>
      <c r="D11" s="23" t="n">
        <v>1791</v>
      </c>
      <c r="E11" s="23" t="n">
        <v>1070</v>
      </c>
      <c r="F11" s="23" t="n">
        <v>1856</v>
      </c>
      <c r="G11" s="23" t="n">
        <v>3135</v>
      </c>
      <c r="H11" s="23" t="n">
        <v>1803</v>
      </c>
      <c r="I11" s="23" t="inlineStr">
        <is>
          <t>50х5</t>
        </is>
      </c>
      <c r="J11" s="23" t="inlineStr">
        <is>
          <t>2х(80х8)</t>
        </is>
      </c>
      <c r="K11" s="23" t="inlineStr">
        <is>
          <t>80х8</t>
        </is>
      </c>
    </row>
    <row r="12">
      <c r="A12" s="22" t="inlineStr">
        <is>
          <t>ТМГ-1600</t>
        </is>
      </c>
      <c r="B12" s="22" t="inlineStr">
        <is>
          <t>Алттранс</t>
        </is>
      </c>
      <c r="C12" s="22" t="n">
        <v>1600</v>
      </c>
      <c r="D12" s="22" t="n">
        <v>1955</v>
      </c>
      <c r="E12" s="22" t="n">
        <v>1145</v>
      </c>
      <c r="F12" s="22" t="n">
        <v>1840</v>
      </c>
      <c r="G12" s="22" t="n">
        <v>3500</v>
      </c>
      <c r="H12" s="22" t="n">
        <v>2308</v>
      </c>
      <c r="I12" s="22" t="inlineStr">
        <is>
          <t>50х5</t>
        </is>
      </c>
      <c r="J12" s="22" t="inlineStr">
        <is>
          <t>2х(100х10)</t>
        </is>
      </c>
      <c r="K12" s="22" t="inlineStr">
        <is>
          <t>100х8</t>
        </is>
      </c>
    </row>
    <row r="13">
      <c r="A13" s="23" t="inlineStr">
        <is>
          <t>ТМГ-2500</t>
        </is>
      </c>
      <c r="B13" s="23" t="inlineStr">
        <is>
          <t>Алттранс</t>
        </is>
      </c>
      <c r="C13" s="23" t="n">
        <v>2500</v>
      </c>
      <c r="D13" s="23" t="n">
        <v>2300</v>
      </c>
      <c r="E13" s="23" t="n">
        <v>1350</v>
      </c>
      <c r="F13" s="23" t="n">
        <v>2100</v>
      </c>
      <c r="G13" s="23" t="n">
        <v>5500</v>
      </c>
      <c r="H13" s="23" t="n">
        <v>3607</v>
      </c>
      <c r="I13" s="23" t="inlineStr">
        <is>
          <t>50х5</t>
        </is>
      </c>
      <c r="J13" s="23" t="inlineStr">
        <is>
          <t>3х(100х10)</t>
        </is>
      </c>
      <c r="K13" s="23" t="inlineStr">
        <is>
          <t>100х10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18" customWidth="1" min="3" max="3"/>
    <col width="14" customWidth="1" min="4" max="4"/>
    <col width="15" customWidth="1" min="5" max="5"/>
    <col width="15" customWidth="1" min="6" max="6"/>
    <col width="14" customWidth="1" min="7" max="7"/>
    <col width="19" customWidth="1" min="8" max="8"/>
    <col width="13" customWidth="1" min="9" max="9"/>
    <col width="20" customWidth="1" min="10" max="10"/>
    <col width="15" customWidth="1" min="11" max="11"/>
  </cols>
  <sheetData>
    <row r="1">
      <c r="A1" s="21" t="inlineStr">
        <is>
          <t>Марка</t>
        </is>
      </c>
      <c r="B1" s="21" t="inlineStr">
        <is>
          <t>Производитель</t>
        </is>
      </c>
      <c r="C1" s="21" t="inlineStr">
        <is>
          <t>Мощность (кВА)</t>
        </is>
      </c>
      <c r="D1" s="21" t="inlineStr">
        <is>
          <t>Длина (мм)</t>
        </is>
      </c>
      <c r="E1" s="21" t="inlineStr">
        <is>
          <t>Ширина (мм)</t>
        </is>
      </c>
      <c r="F1" s="21" t="inlineStr">
        <is>
          <t>Высота (мм)</t>
        </is>
      </c>
      <c r="G1" s="21" t="inlineStr">
        <is>
          <t>Масса (кг)</t>
        </is>
      </c>
      <c r="H1" s="21" t="inlineStr">
        <is>
          <t>Ном. Ток НН (А)</t>
        </is>
      </c>
      <c r="I1" s="21" t="inlineStr">
        <is>
          <t>Шины РУВН</t>
        </is>
      </c>
      <c r="J1" s="21" t="inlineStr">
        <is>
          <t>Шины РУНН (ввод)</t>
        </is>
      </c>
      <c r="K1" s="21" t="inlineStr">
        <is>
          <t>Шина PE/PEN</t>
        </is>
      </c>
    </row>
    <row r="2">
      <c r="A2" s="22" t="inlineStr">
        <is>
          <t>ТМГ-160 (СВЭЛ)</t>
        </is>
      </c>
      <c r="B2" s="22" t="inlineStr">
        <is>
          <t>СВЭЛ</t>
        </is>
      </c>
      <c r="C2" s="22" t="n">
        <v>160</v>
      </c>
      <c r="D2" s="22" t="n">
        <v>995</v>
      </c>
      <c r="E2" s="22" t="n">
        <v>790</v>
      </c>
      <c r="F2" s="22" t="n">
        <v>1085</v>
      </c>
      <c r="G2" s="22" t="n">
        <v>720</v>
      </c>
      <c r="H2" s="22" t="n">
        <v>230</v>
      </c>
      <c r="I2" s="22" t="inlineStr">
        <is>
          <t>50х5</t>
        </is>
      </c>
      <c r="J2" s="22" t="inlineStr">
        <is>
          <t>40х4</t>
        </is>
      </c>
      <c r="K2" s="22" t="inlineStr">
        <is>
          <t>40х4</t>
        </is>
      </c>
    </row>
    <row r="3">
      <c r="A3" s="23" t="inlineStr">
        <is>
          <t>ТМГ-250 (СВЭЛ)</t>
        </is>
      </c>
      <c r="B3" s="23" t="inlineStr">
        <is>
          <t>СВЭЛ</t>
        </is>
      </c>
      <c r="C3" s="23" t="n">
        <v>250</v>
      </c>
      <c r="D3" s="23" t="n">
        <v>1055</v>
      </c>
      <c r="E3" s="23" t="n">
        <v>885</v>
      </c>
      <c r="F3" s="23" t="n">
        <v>1165</v>
      </c>
      <c r="G3" s="23" t="n">
        <v>930</v>
      </c>
      <c r="H3" s="23" t="n">
        <v>360</v>
      </c>
      <c r="I3" s="23" t="inlineStr">
        <is>
          <t>50х5</t>
        </is>
      </c>
      <c r="J3" s="23" t="inlineStr">
        <is>
          <t>40х5</t>
        </is>
      </c>
      <c r="K3" s="23" t="inlineStr">
        <is>
          <t>40х4</t>
        </is>
      </c>
    </row>
    <row r="4">
      <c r="A4" s="22" t="inlineStr">
        <is>
          <t>ТМГ-400 (СВЭЛ)</t>
        </is>
      </c>
      <c r="B4" s="22" t="inlineStr">
        <is>
          <t>СВЭЛ</t>
        </is>
      </c>
      <c r="C4" s="22" t="n">
        <v>400</v>
      </c>
      <c r="D4" s="22" t="n">
        <v>1085</v>
      </c>
      <c r="E4" s="22" t="n">
        <v>910</v>
      </c>
      <c r="F4" s="22" t="n">
        <v>1355</v>
      </c>
      <c r="G4" s="22" t="n">
        <v>1500</v>
      </c>
      <c r="H4" s="22" t="n">
        <v>577</v>
      </c>
      <c r="I4" s="22" t="inlineStr">
        <is>
          <t>50х5</t>
        </is>
      </c>
      <c r="J4" s="22" t="inlineStr">
        <is>
          <t>50х5</t>
        </is>
      </c>
      <c r="K4" s="22" t="inlineStr">
        <is>
          <t>40х5</t>
        </is>
      </c>
    </row>
    <row r="5">
      <c r="A5" s="23" t="inlineStr">
        <is>
          <t>ТМГ-630 (СВЭЛ)</t>
        </is>
      </c>
      <c r="B5" s="23" t="inlineStr">
        <is>
          <t>СВЭЛ</t>
        </is>
      </c>
      <c r="C5" s="23" t="n">
        <v>630</v>
      </c>
      <c r="D5" s="23" t="n">
        <v>1765</v>
      </c>
      <c r="E5" s="23" t="n">
        <v>1185</v>
      </c>
      <c r="F5" s="23" t="n">
        <v>1305</v>
      </c>
      <c r="G5" s="23" t="n">
        <v>1700</v>
      </c>
      <c r="H5" s="23" t="n">
        <v>909</v>
      </c>
      <c r="I5" s="23" t="inlineStr">
        <is>
          <t>50х5</t>
        </is>
      </c>
      <c r="J5" s="23" t="inlineStr">
        <is>
          <t>80х6</t>
        </is>
      </c>
      <c r="K5" s="23" t="inlineStr">
        <is>
          <t>50х5</t>
        </is>
      </c>
    </row>
    <row r="6">
      <c r="A6" s="22" t="inlineStr">
        <is>
          <t>ТМГ-1000 (СВЭЛ)</t>
        </is>
      </c>
      <c r="B6" s="22" t="inlineStr">
        <is>
          <t>СВЭЛ</t>
        </is>
      </c>
      <c r="C6" s="22" t="n">
        <v>1000</v>
      </c>
      <c r="D6" s="22" t="n">
        <v>1980</v>
      </c>
      <c r="E6" s="22" t="n">
        <v>1170</v>
      </c>
      <c r="F6" s="22" t="n">
        <v>1450</v>
      </c>
      <c r="G6" s="22" t="n">
        <v>2400</v>
      </c>
      <c r="H6" s="22" t="n">
        <v>1443</v>
      </c>
      <c r="I6" s="22" t="inlineStr">
        <is>
          <t>50х5</t>
        </is>
      </c>
      <c r="J6" s="22" t="inlineStr">
        <is>
          <t>100х8</t>
        </is>
      </c>
      <c r="K6" s="22" t="inlineStr">
        <is>
          <t>80х6</t>
        </is>
      </c>
    </row>
    <row r="7">
      <c r="A7" s="23" t="inlineStr">
        <is>
          <t>ТМГ-1600 (СВЭЛ)</t>
        </is>
      </c>
      <c r="B7" s="23" t="inlineStr">
        <is>
          <t>СВЭЛ</t>
        </is>
      </c>
      <c r="C7" s="23" t="n">
        <v>1600</v>
      </c>
      <c r="D7" s="23" t="n">
        <v>2260</v>
      </c>
      <c r="E7" s="23" t="n">
        <v>1385</v>
      </c>
      <c r="F7" s="23" t="n">
        <v>1640</v>
      </c>
      <c r="G7" s="23" t="n">
        <v>4100</v>
      </c>
      <c r="H7" s="23" t="n">
        <v>2308</v>
      </c>
      <c r="I7" s="23" t="inlineStr">
        <is>
          <t>50х5</t>
        </is>
      </c>
      <c r="J7" s="23" t="inlineStr">
        <is>
          <t>2х(100х10)</t>
        </is>
      </c>
      <c r="K7" s="23" t="inlineStr">
        <is>
          <t>100х8</t>
        </is>
      </c>
    </row>
    <row r="8">
      <c r="A8" s="22" t="inlineStr">
        <is>
          <t>ТМГ-2500 (СВЭЛ)</t>
        </is>
      </c>
      <c r="B8" s="22" t="inlineStr">
        <is>
          <t>СВЭЛ</t>
        </is>
      </c>
      <c r="C8" s="22" t="n">
        <v>2500</v>
      </c>
      <c r="D8" s="22" t="n">
        <v>2325</v>
      </c>
      <c r="E8" s="22" t="n">
        <v>1495</v>
      </c>
      <c r="F8" s="22" t="n">
        <v>2015</v>
      </c>
      <c r="G8" s="22" t="n">
        <v>5040</v>
      </c>
      <c r="H8" s="22" t="n">
        <v>3607</v>
      </c>
      <c r="I8" s="22" t="inlineStr">
        <is>
          <t>50х5</t>
        </is>
      </c>
      <c r="J8" s="22" t="inlineStr">
        <is>
          <t>3х(100х10)</t>
        </is>
      </c>
      <c r="K8" s="22" t="inlineStr">
        <is>
          <t>100х10</t>
        </is>
      </c>
    </row>
    <row r="9">
      <c r="A9" s="23" t="inlineStr">
        <is>
          <t>ТСЛ-400 (СВЭЛ)</t>
        </is>
      </c>
      <c r="B9" s="23" t="inlineStr">
        <is>
          <t>СВЭЛ</t>
        </is>
      </c>
      <c r="C9" s="23" t="n">
        <v>400</v>
      </c>
      <c r="D9" s="23" t="n">
        <v>1350</v>
      </c>
      <c r="E9" s="23" t="n">
        <v>850</v>
      </c>
      <c r="F9" s="23" t="n">
        <v>1450</v>
      </c>
      <c r="G9" s="23" t="n">
        <v>1600</v>
      </c>
      <c r="H9" s="23" t="n">
        <v>577</v>
      </c>
      <c r="I9" s="23" t="inlineStr">
        <is>
          <t>50х5</t>
        </is>
      </c>
      <c r="J9" s="23" t="inlineStr">
        <is>
          <t>50х5</t>
        </is>
      </c>
      <c r="K9" s="23" t="inlineStr">
        <is>
          <t>40х5</t>
        </is>
      </c>
    </row>
    <row r="10">
      <c r="A10" s="22" t="inlineStr">
        <is>
          <t>ТСЛ-630 (СВЭЛ)</t>
        </is>
      </c>
      <c r="B10" s="22" t="inlineStr">
        <is>
          <t>СВЭЛ</t>
        </is>
      </c>
      <c r="C10" s="22" t="n">
        <v>630</v>
      </c>
      <c r="D10" s="22" t="n">
        <v>1450</v>
      </c>
      <c r="E10" s="22" t="n">
        <v>900</v>
      </c>
      <c r="F10" s="22" t="n">
        <v>1600</v>
      </c>
      <c r="G10" s="22" t="n">
        <v>2100</v>
      </c>
      <c r="H10" s="22" t="n">
        <v>909</v>
      </c>
      <c r="I10" s="22" t="inlineStr">
        <is>
          <t>50х5</t>
        </is>
      </c>
      <c r="J10" s="22" t="inlineStr">
        <is>
          <t>80х6</t>
        </is>
      </c>
      <c r="K10" s="22" t="inlineStr">
        <is>
          <t>50х5</t>
        </is>
      </c>
    </row>
    <row r="11">
      <c r="A11" s="23" t="inlineStr">
        <is>
          <t>ТСЛ-1000 (СВЭЛ)</t>
        </is>
      </c>
      <c r="B11" s="23" t="inlineStr">
        <is>
          <t>СВЭЛ</t>
        </is>
      </c>
      <c r="C11" s="23" t="n">
        <v>1000</v>
      </c>
      <c r="D11" s="23" t="n">
        <v>1600</v>
      </c>
      <c r="E11" s="23" t="n">
        <v>1000</v>
      </c>
      <c r="F11" s="23" t="n">
        <v>1850</v>
      </c>
      <c r="G11" s="23" t="n">
        <v>3100</v>
      </c>
      <c r="H11" s="23" t="n">
        <v>1443</v>
      </c>
      <c r="I11" s="23" t="inlineStr">
        <is>
          <t>50х5</t>
        </is>
      </c>
      <c r="J11" s="23" t="inlineStr">
        <is>
          <t>100х8</t>
        </is>
      </c>
      <c r="K11" s="23" t="inlineStr">
        <is>
          <t>80х6</t>
        </is>
      </c>
    </row>
    <row r="12">
      <c r="A12" s="22" t="inlineStr">
        <is>
          <t>ТСЛ-1600 (СВЭЛ)</t>
        </is>
      </c>
      <c r="B12" s="22" t="inlineStr">
        <is>
          <t>СВЭЛ</t>
        </is>
      </c>
      <c r="C12" s="22" t="n">
        <v>1600</v>
      </c>
      <c r="D12" s="22" t="n">
        <v>1800</v>
      </c>
      <c r="E12" s="22" t="n">
        <v>1100</v>
      </c>
      <c r="F12" s="22" t="n">
        <v>2100</v>
      </c>
      <c r="G12" s="22" t="n">
        <v>4600</v>
      </c>
      <c r="H12" s="22" t="n">
        <v>2308</v>
      </c>
      <c r="I12" s="22" t="inlineStr">
        <is>
          <t>50х5</t>
        </is>
      </c>
      <c r="J12" s="22" t="inlineStr">
        <is>
          <t>2х(100х10)</t>
        </is>
      </c>
      <c r="K12" s="22" t="inlineStr">
        <is>
          <t>100х8</t>
        </is>
      </c>
    </row>
    <row r="13">
      <c r="A13" s="23" t="inlineStr">
        <is>
          <t>ТСЛ-2500 (СВЭЛ)</t>
        </is>
      </c>
      <c r="B13" s="23" t="inlineStr">
        <is>
          <t>СВЭЛ</t>
        </is>
      </c>
      <c r="C13" s="23" t="n">
        <v>2500</v>
      </c>
      <c r="D13" s="23" t="n">
        <v>2000</v>
      </c>
      <c r="E13" s="23" t="n">
        <v>1200</v>
      </c>
      <c r="F13" s="23" t="n">
        <v>2350</v>
      </c>
      <c r="G13" s="23" t="n">
        <v>6700</v>
      </c>
      <c r="H13" s="23" t="n">
        <v>3607</v>
      </c>
      <c r="I13" s="23" t="inlineStr">
        <is>
          <t>50х5</t>
        </is>
      </c>
      <c r="J13" s="23" t="inlineStr">
        <is>
          <t>3х(100х10)</t>
        </is>
      </c>
      <c r="K13" s="23" t="inlineStr">
        <is>
          <t>100х10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18" customWidth="1" min="3" max="3"/>
    <col width="14" customWidth="1" min="4" max="4"/>
    <col width="15" customWidth="1" min="5" max="5"/>
    <col width="15" customWidth="1" min="6" max="6"/>
    <col width="14" customWidth="1" min="7" max="7"/>
    <col width="19" customWidth="1" min="8" max="8"/>
    <col width="13" customWidth="1" min="9" max="9"/>
    <col width="20" customWidth="1" min="10" max="10"/>
    <col width="15" customWidth="1" min="11" max="11"/>
  </cols>
  <sheetData>
    <row r="1">
      <c r="A1" s="21" t="inlineStr">
        <is>
          <t>Марка</t>
        </is>
      </c>
      <c r="B1" s="21" t="inlineStr">
        <is>
          <t>Производитель</t>
        </is>
      </c>
      <c r="C1" s="21" t="inlineStr">
        <is>
          <t>Мощность (кВА)</t>
        </is>
      </c>
      <c r="D1" s="21" t="inlineStr">
        <is>
          <t>Длина (мм)</t>
        </is>
      </c>
      <c r="E1" s="21" t="inlineStr">
        <is>
          <t>Ширина (мм)</t>
        </is>
      </c>
      <c r="F1" s="21" t="inlineStr">
        <is>
          <t>Высота (мм)</t>
        </is>
      </c>
      <c r="G1" s="21" t="inlineStr">
        <is>
          <t>Масса (кг)</t>
        </is>
      </c>
      <c r="H1" s="21" t="inlineStr">
        <is>
          <t>Ном. Ток НН (А)</t>
        </is>
      </c>
      <c r="I1" s="21" t="inlineStr">
        <is>
          <t>Шины РУВН</t>
        </is>
      </c>
      <c r="J1" s="21" t="inlineStr">
        <is>
          <t>Шины РУНН (ввод)</t>
        </is>
      </c>
      <c r="K1" s="21" t="inlineStr">
        <is>
          <t>Шина PE/PEN</t>
        </is>
      </c>
    </row>
    <row r="2">
      <c r="A2" s="22" t="inlineStr">
        <is>
          <t>ТМГ-25 (МЭТЗ)</t>
        </is>
      </c>
      <c r="B2" s="22" t="inlineStr">
        <is>
          <t>МЭТЗ</t>
        </is>
      </c>
      <c r="C2" s="22" t="n">
        <v>25</v>
      </c>
      <c r="D2" s="22" t="n">
        <v>770</v>
      </c>
      <c r="E2" s="22" t="n">
        <v>430</v>
      </c>
      <c r="F2" s="22" t="n">
        <v>900</v>
      </c>
      <c r="G2" s="22" t="n">
        <v>255</v>
      </c>
      <c r="H2" s="22" t="n">
        <v>36</v>
      </c>
      <c r="I2" s="22" t="inlineStr">
        <is>
          <t>50х5</t>
        </is>
      </c>
      <c r="J2" s="22" t="inlineStr">
        <is>
          <t>40х4</t>
        </is>
      </c>
      <c r="K2" s="22" t="inlineStr">
        <is>
          <t>40х4</t>
        </is>
      </c>
    </row>
    <row r="3">
      <c r="A3" s="23" t="inlineStr">
        <is>
          <t>ТМГ-40 (МЭТЗ)</t>
        </is>
      </c>
      <c r="B3" s="23" t="inlineStr">
        <is>
          <t>МЭТЗ</t>
        </is>
      </c>
      <c r="C3" s="23" t="n">
        <v>40</v>
      </c>
      <c r="D3" s="23" t="n">
        <v>820</v>
      </c>
      <c r="E3" s="23" t="n">
        <v>435</v>
      </c>
      <c r="F3" s="23" t="n">
        <v>950</v>
      </c>
      <c r="G3" s="23" t="n">
        <v>305</v>
      </c>
      <c r="H3" s="23" t="n">
        <v>57</v>
      </c>
      <c r="I3" s="23" t="inlineStr">
        <is>
          <t>50х5</t>
        </is>
      </c>
      <c r="J3" s="23" t="inlineStr">
        <is>
          <t>40х4</t>
        </is>
      </c>
      <c r="K3" s="23" t="inlineStr">
        <is>
          <t>40х4</t>
        </is>
      </c>
    </row>
    <row r="4">
      <c r="A4" s="22" t="inlineStr">
        <is>
          <t>ТМГ-63 (МЭТЗ)</t>
        </is>
      </c>
      <c r="B4" s="22" t="inlineStr">
        <is>
          <t>МЭТЗ</t>
        </is>
      </c>
      <c r="C4" s="22" t="n">
        <v>63</v>
      </c>
      <c r="D4" s="22" t="n">
        <v>800</v>
      </c>
      <c r="E4" s="22" t="n">
        <v>570</v>
      </c>
      <c r="F4" s="22" t="n">
        <v>920</v>
      </c>
      <c r="G4" s="22" t="n">
        <v>375</v>
      </c>
      <c r="H4" s="22" t="n">
        <v>90</v>
      </c>
      <c r="I4" s="22" t="inlineStr">
        <is>
          <t>50х5</t>
        </is>
      </c>
      <c r="J4" s="22" t="inlineStr">
        <is>
          <t>40х4</t>
        </is>
      </c>
      <c r="K4" s="22" t="inlineStr">
        <is>
          <t>40х4</t>
        </is>
      </c>
    </row>
    <row r="5">
      <c r="A5" s="23" t="inlineStr">
        <is>
          <t>ТМГ-100 (МЭТЗ)</t>
        </is>
      </c>
      <c r="B5" s="23" t="inlineStr">
        <is>
          <t>МЭТЗ</t>
        </is>
      </c>
      <c r="C5" s="23" t="n">
        <v>100</v>
      </c>
      <c r="D5" s="23" t="n">
        <v>820</v>
      </c>
      <c r="E5" s="23" t="n">
        <v>640</v>
      </c>
      <c r="F5" s="23" t="n">
        <v>1040</v>
      </c>
      <c r="G5" s="23" t="n">
        <v>485</v>
      </c>
      <c r="H5" s="23" t="n">
        <v>144</v>
      </c>
      <c r="I5" s="23" t="inlineStr">
        <is>
          <t>50х5</t>
        </is>
      </c>
      <c r="J5" s="23" t="inlineStr">
        <is>
          <t>40х4</t>
        </is>
      </c>
      <c r="K5" s="23" t="inlineStr">
        <is>
          <t>40х4</t>
        </is>
      </c>
    </row>
    <row r="6">
      <c r="A6" s="22" t="inlineStr">
        <is>
          <t>ТМГ-160 (МЭТЗ)</t>
        </is>
      </c>
      <c r="B6" s="22" t="inlineStr">
        <is>
          <t>МЭТЗ</t>
        </is>
      </c>
      <c r="C6" s="22" t="n">
        <v>160</v>
      </c>
      <c r="D6" s="22" t="n">
        <v>920</v>
      </c>
      <c r="E6" s="22" t="n">
        <v>770</v>
      </c>
      <c r="F6" s="22" t="n">
        <v>1040</v>
      </c>
      <c r="G6" s="22" t="n">
        <v>675</v>
      </c>
      <c r="H6" s="22" t="n">
        <v>230</v>
      </c>
      <c r="I6" s="22" t="inlineStr">
        <is>
          <t>50х5</t>
        </is>
      </c>
      <c r="J6" s="22" t="inlineStr">
        <is>
          <t>40х4</t>
        </is>
      </c>
      <c r="K6" s="22" t="inlineStr">
        <is>
          <t>40х4</t>
        </is>
      </c>
    </row>
    <row r="7">
      <c r="A7" s="23" t="inlineStr">
        <is>
          <t>ТМГ-250 (МЭТЗ)</t>
        </is>
      </c>
      <c r="B7" s="23" t="inlineStr">
        <is>
          <t>МЭТЗ</t>
        </is>
      </c>
      <c r="C7" s="23" t="n">
        <v>250</v>
      </c>
      <c r="D7" s="23" t="n">
        <v>1100</v>
      </c>
      <c r="E7" s="23" t="n">
        <v>830</v>
      </c>
      <c r="F7" s="23" t="n">
        <v>1120</v>
      </c>
      <c r="G7" s="23" t="n">
        <v>890</v>
      </c>
      <c r="H7" s="23" t="n">
        <v>360</v>
      </c>
      <c r="I7" s="23" t="inlineStr">
        <is>
          <t>50х5</t>
        </is>
      </c>
      <c r="J7" s="23" t="inlineStr">
        <is>
          <t>40х5</t>
        </is>
      </c>
      <c r="K7" s="23" t="inlineStr">
        <is>
          <t>40х4</t>
        </is>
      </c>
    </row>
    <row r="8">
      <c r="A8" s="22" t="inlineStr">
        <is>
          <t>ТМГ-400 (МЭТЗ)</t>
        </is>
      </c>
      <c r="B8" s="22" t="inlineStr">
        <is>
          <t>МЭТЗ</t>
        </is>
      </c>
      <c r="C8" s="22" t="n">
        <v>400</v>
      </c>
      <c r="D8" s="22" t="n">
        <v>1250</v>
      </c>
      <c r="E8" s="22" t="n">
        <v>950</v>
      </c>
      <c r="F8" s="22" t="n">
        <v>1230</v>
      </c>
      <c r="G8" s="22" t="n">
        <v>1190</v>
      </c>
      <c r="H8" s="22" t="n">
        <v>577</v>
      </c>
      <c r="I8" s="22" t="inlineStr">
        <is>
          <t>50х5</t>
        </is>
      </c>
      <c r="J8" s="22" t="inlineStr">
        <is>
          <t>50х5</t>
        </is>
      </c>
      <c r="K8" s="22" t="inlineStr">
        <is>
          <t>40х5</t>
        </is>
      </c>
    </row>
    <row r="9">
      <c r="A9" s="23" t="inlineStr">
        <is>
          <t>ТМГ-630 (МЭТЗ)</t>
        </is>
      </c>
      <c r="B9" s="23" t="inlineStr">
        <is>
          <t>МЭТЗ</t>
        </is>
      </c>
      <c r="C9" s="23" t="n">
        <v>630</v>
      </c>
      <c r="D9" s="23" t="n">
        <v>1440</v>
      </c>
      <c r="E9" s="23" t="n">
        <v>990</v>
      </c>
      <c r="F9" s="23" t="n">
        <v>1420</v>
      </c>
      <c r="G9" s="23" t="n">
        <v>1710</v>
      </c>
      <c r="H9" s="23" t="n">
        <v>909</v>
      </c>
      <c r="I9" s="23" t="inlineStr">
        <is>
          <t>50х5</t>
        </is>
      </c>
      <c r="J9" s="23" t="inlineStr">
        <is>
          <t>80х6</t>
        </is>
      </c>
      <c r="K9" s="23" t="inlineStr">
        <is>
          <t>50х5</t>
        </is>
      </c>
    </row>
    <row r="10">
      <c r="A10" s="22" t="inlineStr">
        <is>
          <t>ТМГ-1000 (МЭТЗ)</t>
        </is>
      </c>
      <c r="B10" s="22" t="inlineStr">
        <is>
          <t>МЭТЗ</t>
        </is>
      </c>
      <c r="C10" s="22" t="n">
        <v>1000</v>
      </c>
      <c r="D10" s="22" t="n">
        <v>1730</v>
      </c>
      <c r="E10" s="22" t="n">
        <v>1120</v>
      </c>
      <c r="F10" s="22" t="n">
        <v>1440</v>
      </c>
      <c r="G10" s="22" t="n">
        <v>2390</v>
      </c>
      <c r="H10" s="22" t="n">
        <v>1443</v>
      </c>
      <c r="I10" s="22" t="inlineStr">
        <is>
          <t>50х5</t>
        </is>
      </c>
      <c r="J10" s="22" t="inlineStr">
        <is>
          <t>100х8</t>
        </is>
      </c>
      <c r="K10" s="22" t="inlineStr">
        <is>
          <t>80х6</t>
        </is>
      </c>
    </row>
    <row r="11">
      <c r="A11" s="23" t="inlineStr">
        <is>
          <t>ТМГ-1250 (МЭТЗ)</t>
        </is>
      </c>
      <c r="B11" s="23" t="inlineStr">
        <is>
          <t>МЭТЗ</t>
        </is>
      </c>
      <c r="C11" s="23" t="n">
        <v>1250</v>
      </c>
      <c r="D11" s="23" t="n">
        <v>1780</v>
      </c>
      <c r="E11" s="23" t="n">
        <v>1060</v>
      </c>
      <c r="F11" s="23" t="n">
        <v>1850</v>
      </c>
      <c r="G11" s="23" t="n">
        <v>3120</v>
      </c>
      <c r="H11" s="23" t="n">
        <v>1803</v>
      </c>
      <c r="I11" s="23" t="inlineStr">
        <is>
          <t>50х5</t>
        </is>
      </c>
      <c r="J11" s="23" t="inlineStr">
        <is>
          <t>2х(80х8)</t>
        </is>
      </c>
      <c r="K11" s="23" t="inlineStr">
        <is>
          <t>80х8</t>
        </is>
      </c>
    </row>
    <row r="12">
      <c r="A12" s="22" t="inlineStr">
        <is>
          <t>ТМГ-1600 (МЭТЗ)</t>
        </is>
      </c>
      <c r="B12" s="22" t="inlineStr">
        <is>
          <t>МЭТЗ</t>
        </is>
      </c>
      <c r="C12" s="22" t="n">
        <v>1600</v>
      </c>
      <c r="D12" s="22" t="n">
        <v>1950</v>
      </c>
      <c r="E12" s="22" t="n">
        <v>1140</v>
      </c>
      <c r="F12" s="22" t="n">
        <v>1830</v>
      </c>
      <c r="G12" s="22" t="n">
        <v>3490</v>
      </c>
      <c r="H12" s="22" t="n">
        <v>2308</v>
      </c>
      <c r="I12" s="22" t="inlineStr">
        <is>
          <t>50х5</t>
        </is>
      </c>
      <c r="J12" s="22" t="inlineStr">
        <is>
          <t>2х(100х10)</t>
        </is>
      </c>
      <c r="K12" s="22" t="inlineStr">
        <is>
          <t>100х8</t>
        </is>
      </c>
    </row>
    <row r="13">
      <c r="A13" s="23" t="inlineStr">
        <is>
          <t>ТМГ-2500 (МЭТЗ)</t>
        </is>
      </c>
      <c r="B13" s="23" t="inlineStr">
        <is>
          <t>МЭТЗ</t>
        </is>
      </c>
      <c r="C13" s="23" t="n">
        <v>2500</v>
      </c>
      <c r="D13" s="23" t="n">
        <v>2290</v>
      </c>
      <c r="E13" s="23" t="n">
        <v>1340</v>
      </c>
      <c r="F13" s="23" t="n">
        <v>2090</v>
      </c>
      <c r="G13" s="23" t="n">
        <v>5490</v>
      </c>
      <c r="H13" s="23" t="n">
        <v>3607</v>
      </c>
      <c r="I13" s="23" t="inlineStr">
        <is>
          <t>50х5</t>
        </is>
      </c>
      <c r="J13" s="23" t="inlineStr">
        <is>
          <t>3х(100х10)</t>
        </is>
      </c>
      <c r="K13" s="23" t="inlineStr">
        <is>
          <t>100х10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8" customWidth="1" min="3" max="3"/>
    <col width="14" customWidth="1" min="4" max="4"/>
    <col width="15" customWidth="1" min="5" max="5"/>
    <col width="15" customWidth="1" min="6" max="6"/>
    <col width="14" customWidth="1" min="7" max="7"/>
    <col width="19" customWidth="1" min="8" max="8"/>
    <col width="13" customWidth="1" min="9" max="9"/>
    <col width="20" customWidth="1" min="10" max="10"/>
    <col width="15" customWidth="1" min="11" max="11"/>
  </cols>
  <sheetData>
    <row r="1">
      <c r="A1" s="21" t="inlineStr">
        <is>
          <t>Марка</t>
        </is>
      </c>
      <c r="B1" s="21" t="inlineStr">
        <is>
          <t>Производитель</t>
        </is>
      </c>
      <c r="C1" s="21" t="inlineStr">
        <is>
          <t>Мощность (кВА)</t>
        </is>
      </c>
      <c r="D1" s="21" t="inlineStr">
        <is>
          <t>Длина (мм)</t>
        </is>
      </c>
      <c r="E1" s="21" t="inlineStr">
        <is>
          <t>Ширина (мм)</t>
        </is>
      </c>
      <c r="F1" s="21" t="inlineStr">
        <is>
          <t>Высота (мм)</t>
        </is>
      </c>
      <c r="G1" s="21" t="inlineStr">
        <is>
          <t>Масса (кг)</t>
        </is>
      </c>
      <c r="H1" s="21" t="inlineStr">
        <is>
          <t>Ном. Ток НН (А)</t>
        </is>
      </c>
      <c r="I1" s="21" t="inlineStr">
        <is>
          <t>Шины РУВН</t>
        </is>
      </c>
      <c r="J1" s="21" t="inlineStr">
        <is>
          <t>Шины РУНН (ввод)</t>
        </is>
      </c>
      <c r="K1" s="21" t="inlineStr">
        <is>
          <t>Шина PE/PEN</t>
        </is>
      </c>
    </row>
    <row r="2">
      <c r="A2" s="22" t="inlineStr">
        <is>
          <t>ТМГ-160 (Электрощит)</t>
        </is>
      </c>
      <c r="B2" s="22" t="inlineStr">
        <is>
          <t>Электрощит</t>
        </is>
      </c>
      <c r="C2" s="22" t="n">
        <v>160</v>
      </c>
      <c r="D2" s="22" t="n">
        <v>940</v>
      </c>
      <c r="E2" s="22" t="n">
        <v>780</v>
      </c>
      <c r="F2" s="22" t="n">
        <v>1060</v>
      </c>
      <c r="G2" s="22" t="n">
        <v>690</v>
      </c>
      <c r="H2" s="22" t="n">
        <v>230</v>
      </c>
      <c r="I2" s="22" t="inlineStr">
        <is>
          <t>50х5</t>
        </is>
      </c>
      <c r="J2" s="22" t="inlineStr">
        <is>
          <t>40х4</t>
        </is>
      </c>
      <c r="K2" s="22" t="inlineStr">
        <is>
          <t>40х4</t>
        </is>
      </c>
    </row>
    <row r="3">
      <c r="A3" s="23" t="inlineStr">
        <is>
          <t>ТМГ-250 (Электрощит)</t>
        </is>
      </c>
      <c r="B3" s="23" t="inlineStr">
        <is>
          <t>Электрощит</t>
        </is>
      </c>
      <c r="C3" s="23" t="n">
        <v>250</v>
      </c>
      <c r="D3" s="23" t="n">
        <v>1120</v>
      </c>
      <c r="E3" s="23" t="n">
        <v>840</v>
      </c>
      <c r="F3" s="23" t="n">
        <v>1140</v>
      </c>
      <c r="G3" s="23" t="n">
        <v>900</v>
      </c>
      <c r="H3" s="23" t="n">
        <v>360</v>
      </c>
      <c r="I3" s="23" t="inlineStr">
        <is>
          <t>50х5</t>
        </is>
      </c>
      <c r="J3" s="23" t="inlineStr">
        <is>
          <t>40х5</t>
        </is>
      </c>
      <c r="K3" s="23" t="inlineStr">
        <is>
          <t>40х4</t>
        </is>
      </c>
    </row>
    <row r="4">
      <c r="A4" s="22" t="inlineStr">
        <is>
          <t>ТМГ-400 (Электрощит)</t>
        </is>
      </c>
      <c r="B4" s="22" t="inlineStr">
        <is>
          <t>Электрощит</t>
        </is>
      </c>
      <c r="C4" s="22" t="n">
        <v>400</v>
      </c>
      <c r="D4" s="22" t="n">
        <v>1270</v>
      </c>
      <c r="E4" s="22" t="n">
        <v>970</v>
      </c>
      <c r="F4" s="22" t="n">
        <v>1250</v>
      </c>
      <c r="G4" s="22" t="n">
        <v>1210</v>
      </c>
      <c r="H4" s="22" t="n">
        <v>577</v>
      </c>
      <c r="I4" s="22" t="inlineStr">
        <is>
          <t>50х5</t>
        </is>
      </c>
      <c r="J4" s="22" t="inlineStr">
        <is>
          <t>50х5</t>
        </is>
      </c>
      <c r="K4" s="22" t="inlineStr">
        <is>
          <t>40х5</t>
        </is>
      </c>
    </row>
    <row r="5">
      <c r="A5" s="23" t="inlineStr">
        <is>
          <t>ТМГ-630 (Электрощит)</t>
        </is>
      </c>
      <c r="B5" s="23" t="inlineStr">
        <is>
          <t>Электрощит</t>
        </is>
      </c>
      <c r="C5" s="23" t="n">
        <v>630</v>
      </c>
      <c r="D5" s="23" t="n">
        <v>1460</v>
      </c>
      <c r="E5" s="23" t="n">
        <v>1010</v>
      </c>
      <c r="F5" s="23" t="n">
        <v>1440</v>
      </c>
      <c r="G5" s="23" t="n">
        <v>1730</v>
      </c>
      <c r="H5" s="23" t="n">
        <v>909</v>
      </c>
      <c r="I5" s="23" t="inlineStr">
        <is>
          <t>50х5</t>
        </is>
      </c>
      <c r="J5" s="23" t="inlineStr">
        <is>
          <t>80х6</t>
        </is>
      </c>
      <c r="K5" s="23" t="inlineStr">
        <is>
          <t>50х5</t>
        </is>
      </c>
    </row>
    <row r="6">
      <c r="A6" s="22" t="inlineStr">
        <is>
          <t>ТМГ-1000 (Электрощит)</t>
        </is>
      </c>
      <c r="B6" s="22" t="inlineStr">
        <is>
          <t>Электрощит</t>
        </is>
      </c>
      <c r="C6" s="22" t="n">
        <v>1000</v>
      </c>
      <c r="D6" s="22" t="n">
        <v>1750</v>
      </c>
      <c r="E6" s="22" t="n">
        <v>1140</v>
      </c>
      <c r="F6" s="22" t="n">
        <v>1460</v>
      </c>
      <c r="G6" s="22" t="n">
        <v>2420</v>
      </c>
      <c r="H6" s="22" t="n">
        <v>1443</v>
      </c>
      <c r="I6" s="22" t="inlineStr">
        <is>
          <t>50х5</t>
        </is>
      </c>
      <c r="J6" s="22" t="inlineStr">
        <is>
          <t>100х8</t>
        </is>
      </c>
      <c r="K6" s="22" t="inlineStr">
        <is>
          <t>80х6</t>
        </is>
      </c>
    </row>
    <row r="7">
      <c r="A7" s="23" t="inlineStr">
        <is>
          <t>ТМГ-1600 (Электрощит)</t>
        </is>
      </c>
      <c r="B7" s="23" t="inlineStr">
        <is>
          <t>Электрощит</t>
        </is>
      </c>
      <c r="C7" s="23" t="n">
        <v>1600</v>
      </c>
      <c r="D7" s="23" t="n">
        <v>1970</v>
      </c>
      <c r="E7" s="23" t="n">
        <v>1160</v>
      </c>
      <c r="F7" s="23" t="n">
        <v>1860</v>
      </c>
      <c r="G7" s="23" t="n">
        <v>3520</v>
      </c>
      <c r="H7" s="23" t="n">
        <v>2308</v>
      </c>
      <c r="I7" s="23" t="inlineStr">
        <is>
          <t>50х5</t>
        </is>
      </c>
      <c r="J7" s="23" t="inlineStr">
        <is>
          <t>2х(100х10)</t>
        </is>
      </c>
      <c r="K7" s="23" t="inlineStr">
        <is>
          <t>100х8</t>
        </is>
      </c>
    </row>
    <row r="8">
      <c r="A8" s="22" t="inlineStr">
        <is>
          <t>ТСЛ-400 (Электрощит)</t>
        </is>
      </c>
      <c r="B8" s="22" t="inlineStr">
        <is>
          <t>Электрощит</t>
        </is>
      </c>
      <c r="C8" s="22" t="n">
        <v>400</v>
      </c>
      <c r="D8" s="22" t="n">
        <v>1360</v>
      </c>
      <c r="E8" s="22" t="n">
        <v>860</v>
      </c>
      <c r="F8" s="22" t="n">
        <v>1460</v>
      </c>
      <c r="G8" s="22" t="n">
        <v>1620</v>
      </c>
      <c r="H8" s="22" t="n">
        <v>577</v>
      </c>
      <c r="I8" s="22" t="inlineStr">
        <is>
          <t>50х5</t>
        </is>
      </c>
      <c r="J8" s="22" t="inlineStr">
        <is>
          <t>50х5</t>
        </is>
      </c>
      <c r="K8" s="22" t="inlineStr">
        <is>
          <t>40х5</t>
        </is>
      </c>
    </row>
    <row r="9">
      <c r="A9" s="23" t="inlineStr">
        <is>
          <t>ТСЛ-630 (Электрощит)</t>
        </is>
      </c>
      <c r="B9" s="23" t="inlineStr">
        <is>
          <t>Электрощит</t>
        </is>
      </c>
      <c r="C9" s="23" t="n">
        <v>630</v>
      </c>
      <c r="D9" s="23" t="n">
        <v>1460</v>
      </c>
      <c r="E9" s="23" t="n">
        <v>910</v>
      </c>
      <c r="F9" s="23" t="n">
        <v>1610</v>
      </c>
      <c r="G9" s="23" t="n">
        <v>2120</v>
      </c>
      <c r="H9" s="23" t="n">
        <v>909</v>
      </c>
      <c r="I9" s="23" t="inlineStr">
        <is>
          <t>50х5</t>
        </is>
      </c>
      <c r="J9" s="23" t="inlineStr">
        <is>
          <t>80х6</t>
        </is>
      </c>
      <c r="K9" s="23" t="inlineStr">
        <is>
          <t>50х5</t>
        </is>
      </c>
    </row>
    <row r="10">
      <c r="A10" s="22" t="inlineStr">
        <is>
          <t>ТСЛ-1000 (Электрощит)</t>
        </is>
      </c>
      <c r="B10" s="22" t="inlineStr">
        <is>
          <t>Электрощит</t>
        </is>
      </c>
      <c r="C10" s="22" t="n">
        <v>1000</v>
      </c>
      <c r="D10" s="22" t="n">
        <v>1610</v>
      </c>
      <c r="E10" s="22" t="n">
        <v>1010</v>
      </c>
      <c r="F10" s="22" t="n">
        <v>1860</v>
      </c>
      <c r="G10" s="22" t="n">
        <v>3120</v>
      </c>
      <c r="H10" s="22" t="n">
        <v>1443</v>
      </c>
      <c r="I10" s="22" t="inlineStr">
        <is>
          <t>50х5</t>
        </is>
      </c>
      <c r="J10" s="22" t="inlineStr">
        <is>
          <t>100х8</t>
        </is>
      </c>
      <c r="K10" s="22" t="inlineStr">
        <is>
          <t>80х6</t>
        </is>
      </c>
    </row>
    <row r="11">
      <c r="A11" s="23" t="inlineStr">
        <is>
          <t>ТСЛ-1600 (Электрощит)</t>
        </is>
      </c>
      <c r="B11" s="23" t="inlineStr">
        <is>
          <t>Электрощит</t>
        </is>
      </c>
      <c r="C11" s="23" t="n">
        <v>1600</v>
      </c>
      <c r="D11" s="23" t="n">
        <v>1810</v>
      </c>
      <c r="E11" s="23" t="n">
        <v>1110</v>
      </c>
      <c r="F11" s="23" t="n">
        <v>2110</v>
      </c>
      <c r="G11" s="23" t="n">
        <v>4620</v>
      </c>
      <c r="H11" s="23" t="n">
        <v>2308</v>
      </c>
      <c r="I11" s="23" t="inlineStr">
        <is>
          <t>50х5</t>
        </is>
      </c>
      <c r="J11" s="23" t="inlineStr">
        <is>
          <t>2х(100х10)</t>
        </is>
      </c>
      <c r="K11" s="23" t="inlineStr">
        <is>
          <t>100х8</t>
        </is>
      </c>
    </row>
    <row r="12">
      <c r="A12" s="22" t="inlineStr">
        <is>
          <t>ТСЛ-2500 (Электрощит)</t>
        </is>
      </c>
      <c r="B12" s="22" t="inlineStr">
        <is>
          <t>Электрощит</t>
        </is>
      </c>
      <c r="C12" s="22" t="n">
        <v>2500</v>
      </c>
      <c r="D12" s="22" t="n">
        <v>2010</v>
      </c>
      <c r="E12" s="22" t="n">
        <v>1210</v>
      </c>
      <c r="F12" s="22" t="n">
        <v>2360</v>
      </c>
      <c r="G12" s="22" t="n">
        <v>6720</v>
      </c>
      <c r="H12" s="22" t="n">
        <v>3607</v>
      </c>
      <c r="I12" s="22" t="inlineStr">
        <is>
          <t>50х5</t>
        </is>
      </c>
      <c r="J12" s="22" t="inlineStr">
        <is>
          <t>3х(100х10)</t>
        </is>
      </c>
      <c r="K12" s="22" t="inlineStr">
        <is>
          <t>100х10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8" customWidth="1" min="3" max="3"/>
    <col width="14" customWidth="1" min="4" max="4"/>
    <col width="15" customWidth="1" min="5" max="5"/>
    <col width="15" customWidth="1" min="6" max="6"/>
    <col width="14" customWidth="1" min="7" max="7"/>
    <col width="19" customWidth="1" min="8" max="8"/>
    <col width="13" customWidth="1" min="9" max="9"/>
    <col width="20" customWidth="1" min="10" max="10"/>
    <col width="15" customWidth="1" min="11" max="11"/>
  </cols>
  <sheetData>
    <row r="1">
      <c r="A1" s="21" t="inlineStr">
        <is>
          <t>Марка</t>
        </is>
      </c>
      <c r="B1" s="21" t="inlineStr">
        <is>
          <t>Производитель</t>
        </is>
      </c>
      <c r="C1" s="21" t="inlineStr">
        <is>
          <t>Мощность (кВА)</t>
        </is>
      </c>
      <c r="D1" s="21" t="inlineStr">
        <is>
          <t>Длина (мм)</t>
        </is>
      </c>
      <c r="E1" s="21" t="inlineStr">
        <is>
          <t>Ширина (мм)</t>
        </is>
      </c>
      <c r="F1" s="21" t="inlineStr">
        <is>
          <t>Высота (мм)</t>
        </is>
      </c>
      <c r="G1" s="21" t="inlineStr">
        <is>
          <t>Масса (кг)</t>
        </is>
      </c>
      <c r="H1" s="21" t="inlineStr">
        <is>
          <t>Ном. Ток НН (А)</t>
        </is>
      </c>
      <c r="I1" s="21" t="inlineStr">
        <is>
          <t>Шины РУВН</t>
        </is>
      </c>
      <c r="J1" s="21" t="inlineStr">
        <is>
          <t>Шины РУНН (ввод)</t>
        </is>
      </c>
      <c r="K1" s="21" t="inlineStr">
        <is>
          <t>Шина PE/PEN</t>
        </is>
      </c>
    </row>
    <row r="2">
      <c r="A2" s="22" t="inlineStr">
        <is>
          <t>ТСЛ-250 (Трансформер)</t>
        </is>
      </c>
      <c r="B2" s="22" t="inlineStr">
        <is>
          <t>Трансформер</t>
        </is>
      </c>
      <c r="C2" s="22" t="n">
        <v>250</v>
      </c>
      <c r="D2" s="22" t="n">
        <v>1210</v>
      </c>
      <c r="E2" s="22" t="n">
        <v>760</v>
      </c>
      <c r="F2" s="22" t="n">
        <v>1310</v>
      </c>
      <c r="G2" s="22" t="n">
        <v>1160</v>
      </c>
      <c r="H2" s="22" t="n">
        <v>360</v>
      </c>
      <c r="I2" s="22" t="inlineStr">
        <is>
          <t>50х5</t>
        </is>
      </c>
      <c r="J2" s="22" t="inlineStr">
        <is>
          <t>40х5</t>
        </is>
      </c>
      <c r="K2" s="22" t="inlineStr">
        <is>
          <t>40х4</t>
        </is>
      </c>
    </row>
    <row r="3">
      <c r="A3" s="23" t="inlineStr">
        <is>
          <t>ТСЛ-400 (Трансформер)</t>
        </is>
      </c>
      <c r="B3" s="23" t="inlineStr">
        <is>
          <t>Трансформер</t>
        </is>
      </c>
      <c r="C3" s="23" t="n">
        <v>400</v>
      </c>
      <c r="D3" s="23" t="n">
        <v>1360</v>
      </c>
      <c r="E3" s="23" t="n">
        <v>860</v>
      </c>
      <c r="F3" s="23" t="n">
        <v>1460</v>
      </c>
      <c r="G3" s="23" t="n">
        <v>1610</v>
      </c>
      <c r="H3" s="23" t="n">
        <v>577</v>
      </c>
      <c r="I3" s="23" t="inlineStr">
        <is>
          <t>50х5</t>
        </is>
      </c>
      <c r="J3" s="23" t="inlineStr">
        <is>
          <t>50х5</t>
        </is>
      </c>
      <c r="K3" s="23" t="inlineStr">
        <is>
          <t>40х5</t>
        </is>
      </c>
    </row>
    <row r="4">
      <c r="A4" s="22" t="inlineStr">
        <is>
          <t>ТСЛ-630 (Трансформер)</t>
        </is>
      </c>
      <c r="B4" s="22" t="inlineStr">
        <is>
          <t>Трансформер</t>
        </is>
      </c>
      <c r="C4" s="22" t="n">
        <v>630</v>
      </c>
      <c r="D4" s="22" t="n">
        <v>1460</v>
      </c>
      <c r="E4" s="22" t="n">
        <v>910</v>
      </c>
      <c r="F4" s="22" t="n">
        <v>1610</v>
      </c>
      <c r="G4" s="22" t="n">
        <v>2110</v>
      </c>
      <c r="H4" s="22" t="n">
        <v>909</v>
      </c>
      <c r="I4" s="22" t="inlineStr">
        <is>
          <t>50х5</t>
        </is>
      </c>
      <c r="J4" s="22" t="inlineStr">
        <is>
          <t>80х6</t>
        </is>
      </c>
      <c r="K4" s="22" t="inlineStr">
        <is>
          <t>50х5</t>
        </is>
      </c>
    </row>
    <row r="5">
      <c r="A5" s="23" t="inlineStr">
        <is>
          <t>ТСЛ-1000 (Трансформер)</t>
        </is>
      </c>
      <c r="B5" s="23" t="inlineStr">
        <is>
          <t>Трансформер</t>
        </is>
      </c>
      <c r="C5" s="23" t="n">
        <v>1000</v>
      </c>
      <c r="D5" s="23" t="n">
        <v>1610</v>
      </c>
      <c r="E5" s="23" t="n">
        <v>1010</v>
      </c>
      <c r="F5" s="23" t="n">
        <v>1860</v>
      </c>
      <c r="G5" s="23" t="n">
        <v>3110</v>
      </c>
      <c r="H5" s="23" t="n">
        <v>1443</v>
      </c>
      <c r="I5" s="23" t="inlineStr">
        <is>
          <t>50х5</t>
        </is>
      </c>
      <c r="J5" s="23" t="inlineStr">
        <is>
          <t>100х8</t>
        </is>
      </c>
      <c r="K5" s="23" t="inlineStr">
        <is>
          <t>80х6</t>
        </is>
      </c>
    </row>
    <row r="6">
      <c r="A6" s="22" t="inlineStr">
        <is>
          <t>ТСЛ-1600 (Трансформер)</t>
        </is>
      </c>
      <c r="B6" s="22" t="inlineStr">
        <is>
          <t>Трансформер</t>
        </is>
      </c>
      <c r="C6" s="22" t="n">
        <v>1600</v>
      </c>
      <c r="D6" s="22" t="n">
        <v>1810</v>
      </c>
      <c r="E6" s="22" t="n">
        <v>1110</v>
      </c>
      <c r="F6" s="22" t="n">
        <v>2110</v>
      </c>
      <c r="G6" s="22" t="n">
        <v>4610</v>
      </c>
      <c r="H6" s="22" t="n">
        <v>2308</v>
      </c>
      <c r="I6" s="22" t="inlineStr">
        <is>
          <t>50х5</t>
        </is>
      </c>
      <c r="J6" s="22" t="inlineStr">
        <is>
          <t>2х(100х10)</t>
        </is>
      </c>
      <c r="K6" s="22" t="inlineStr">
        <is>
          <t>100х8</t>
        </is>
      </c>
    </row>
    <row r="7">
      <c r="A7" s="23" t="inlineStr">
        <is>
          <t>ТСЛ-2500 (Трансформер)</t>
        </is>
      </c>
      <c r="B7" s="23" t="inlineStr">
        <is>
          <t>Трансформер</t>
        </is>
      </c>
      <c r="C7" s="23" t="n">
        <v>2500</v>
      </c>
      <c r="D7" s="23" t="n">
        <v>2010</v>
      </c>
      <c r="E7" s="23" t="n">
        <v>1210</v>
      </c>
      <c r="F7" s="23" t="n">
        <v>2360</v>
      </c>
      <c r="G7" s="23" t="n">
        <v>6710</v>
      </c>
      <c r="H7" s="23" t="n">
        <v>3607</v>
      </c>
      <c r="I7" s="23" t="inlineStr">
        <is>
          <t>50х5</t>
        </is>
      </c>
      <c r="J7" s="23" t="inlineStr">
        <is>
          <t>3х(100х10)</t>
        </is>
      </c>
      <c r="K7" s="23" t="inlineStr">
        <is>
          <t>100х10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8" customWidth="1" min="3" max="3"/>
    <col width="14" customWidth="1" min="4" max="4"/>
    <col width="15" customWidth="1" min="5" max="5"/>
    <col width="15" customWidth="1" min="6" max="6"/>
    <col width="14" customWidth="1" min="7" max="7"/>
    <col width="19" customWidth="1" min="8" max="8"/>
    <col width="13" customWidth="1" min="9" max="9"/>
    <col width="20" customWidth="1" min="10" max="10"/>
    <col width="15" customWidth="1" min="11" max="11"/>
  </cols>
  <sheetData>
    <row r="1">
      <c r="A1" s="21" t="inlineStr">
        <is>
          <t>Марка</t>
        </is>
      </c>
      <c r="B1" s="21" t="inlineStr">
        <is>
          <t>Производитель</t>
        </is>
      </c>
      <c r="C1" s="21" t="inlineStr">
        <is>
          <t>Мощность (кВА)</t>
        </is>
      </c>
      <c r="D1" s="21" t="inlineStr">
        <is>
          <t>Длина (мм)</t>
        </is>
      </c>
      <c r="E1" s="21" t="inlineStr">
        <is>
          <t>Ширина (мм)</t>
        </is>
      </c>
      <c r="F1" s="21" t="inlineStr">
        <is>
          <t>Высота (мм)</t>
        </is>
      </c>
      <c r="G1" s="21" t="inlineStr">
        <is>
          <t>Масса (кг)</t>
        </is>
      </c>
      <c r="H1" s="21" t="inlineStr">
        <is>
          <t>Ном. Ток НН (А)</t>
        </is>
      </c>
      <c r="I1" s="21" t="inlineStr">
        <is>
          <t>Шины РУВН</t>
        </is>
      </c>
      <c r="J1" s="21" t="inlineStr">
        <is>
          <t>Шины РУНН (ввод)</t>
        </is>
      </c>
      <c r="K1" s="21" t="inlineStr">
        <is>
          <t>Шина PE/PEN</t>
        </is>
      </c>
    </row>
    <row r="2">
      <c r="A2" s="22" t="inlineStr">
        <is>
          <t>ТМГ-25 (Алагеум)</t>
        </is>
      </c>
      <c r="B2" s="22" t="inlineStr">
        <is>
          <t>Алагеум</t>
        </is>
      </c>
      <c r="C2" s="22" t="n">
        <v>25</v>
      </c>
      <c r="D2" s="22" t="n">
        <v>780</v>
      </c>
      <c r="E2" s="22" t="n">
        <v>440</v>
      </c>
      <c r="F2" s="22" t="n">
        <v>910</v>
      </c>
      <c r="G2" s="22" t="n">
        <v>255</v>
      </c>
      <c r="H2" s="22" t="n">
        <v>36</v>
      </c>
      <c r="I2" s="22" t="inlineStr">
        <is>
          <t>50х5</t>
        </is>
      </c>
      <c r="J2" s="22" t="inlineStr">
        <is>
          <t>40х4</t>
        </is>
      </c>
      <c r="K2" s="22" t="inlineStr">
        <is>
          <t>40х4</t>
        </is>
      </c>
    </row>
    <row r="3">
      <c r="A3" s="23" t="inlineStr">
        <is>
          <t>ТМГ-40 (Алагеум)</t>
        </is>
      </c>
      <c r="B3" s="23" t="inlineStr">
        <is>
          <t>Алагеум</t>
        </is>
      </c>
      <c r="C3" s="23" t="n">
        <v>40</v>
      </c>
      <c r="D3" s="23" t="n">
        <v>830</v>
      </c>
      <c r="E3" s="23" t="n">
        <v>440</v>
      </c>
      <c r="F3" s="23" t="n">
        <v>960</v>
      </c>
      <c r="G3" s="23" t="n">
        <v>310</v>
      </c>
      <c r="H3" s="23" t="n">
        <v>57</v>
      </c>
      <c r="I3" s="23" t="inlineStr">
        <is>
          <t>50х5</t>
        </is>
      </c>
      <c r="J3" s="23" t="inlineStr">
        <is>
          <t>40х4</t>
        </is>
      </c>
      <c r="K3" s="23" t="inlineStr">
        <is>
          <t>40х4</t>
        </is>
      </c>
    </row>
    <row r="4">
      <c r="A4" s="22" t="inlineStr">
        <is>
          <t>ТМГ-63 (Алагеум)</t>
        </is>
      </c>
      <c r="B4" s="22" t="inlineStr">
        <is>
          <t>Алагеум</t>
        </is>
      </c>
      <c r="C4" s="22" t="n">
        <v>63</v>
      </c>
      <c r="D4" s="22" t="n">
        <v>810</v>
      </c>
      <c r="E4" s="22" t="n">
        <v>580</v>
      </c>
      <c r="F4" s="22" t="n">
        <v>930</v>
      </c>
      <c r="G4" s="22" t="n">
        <v>380</v>
      </c>
      <c r="H4" s="22" t="n">
        <v>90</v>
      </c>
      <c r="I4" s="22" t="inlineStr">
        <is>
          <t>50х5</t>
        </is>
      </c>
      <c r="J4" s="22" t="inlineStr">
        <is>
          <t>40х4</t>
        </is>
      </c>
      <c r="K4" s="22" t="inlineStr">
        <is>
          <t>40х4</t>
        </is>
      </c>
    </row>
    <row r="5">
      <c r="A5" s="23" t="inlineStr">
        <is>
          <t>ТМГ-100 (Алагеум)</t>
        </is>
      </c>
      <c r="B5" s="23" t="inlineStr">
        <is>
          <t>Алагеум</t>
        </is>
      </c>
      <c r="C5" s="23" t="n">
        <v>100</v>
      </c>
      <c r="D5" s="23" t="n">
        <v>830</v>
      </c>
      <c r="E5" s="23" t="n">
        <v>650</v>
      </c>
      <c r="F5" s="23" t="n">
        <v>1050</v>
      </c>
      <c r="G5" s="23" t="n">
        <v>490</v>
      </c>
      <c r="H5" s="23" t="n">
        <v>144</v>
      </c>
      <c r="I5" s="23" t="inlineStr">
        <is>
          <t>50х5</t>
        </is>
      </c>
      <c r="J5" s="23" t="inlineStr">
        <is>
          <t>40х4</t>
        </is>
      </c>
      <c r="K5" s="23" t="inlineStr">
        <is>
          <t>40х4</t>
        </is>
      </c>
    </row>
    <row r="6">
      <c r="A6" s="22" t="inlineStr">
        <is>
          <t>ТМГ-160 (Алагеум)</t>
        </is>
      </c>
      <c r="B6" s="22" t="inlineStr">
        <is>
          <t>Алагеум</t>
        </is>
      </c>
      <c r="C6" s="22" t="n">
        <v>160</v>
      </c>
      <c r="D6" s="22" t="n">
        <v>930</v>
      </c>
      <c r="E6" s="22" t="n">
        <v>780</v>
      </c>
      <c r="F6" s="22" t="n">
        <v>1050</v>
      </c>
      <c r="G6" s="22" t="n">
        <v>680</v>
      </c>
      <c r="H6" s="22" t="n">
        <v>230</v>
      </c>
      <c r="I6" s="22" t="inlineStr">
        <is>
          <t>50х5</t>
        </is>
      </c>
      <c r="J6" s="22" t="inlineStr">
        <is>
          <t>40х4</t>
        </is>
      </c>
      <c r="K6" s="22" t="inlineStr">
        <is>
          <t>40х4</t>
        </is>
      </c>
    </row>
    <row r="7">
      <c r="A7" s="23" t="inlineStr">
        <is>
          <t>ТМГ-250 (Алагеум)</t>
        </is>
      </c>
      <c r="B7" s="23" t="inlineStr">
        <is>
          <t>Алагеум</t>
        </is>
      </c>
      <c r="C7" s="23" t="n">
        <v>250</v>
      </c>
      <c r="D7" s="23" t="n">
        <v>1100</v>
      </c>
      <c r="E7" s="23" t="n">
        <v>840</v>
      </c>
      <c r="F7" s="23" t="n">
        <v>1130</v>
      </c>
      <c r="G7" s="23" t="n">
        <v>900</v>
      </c>
      <c r="H7" s="23" t="n">
        <v>360</v>
      </c>
      <c r="I7" s="23" t="inlineStr">
        <is>
          <t>50х5</t>
        </is>
      </c>
      <c r="J7" s="23" t="inlineStr">
        <is>
          <t>40х5</t>
        </is>
      </c>
      <c r="K7" s="23" t="inlineStr">
        <is>
          <t>40х4</t>
        </is>
      </c>
    </row>
    <row r="8">
      <c r="A8" s="22" t="inlineStr">
        <is>
          <t>ТМГ-400 (Алагеум)</t>
        </is>
      </c>
      <c r="B8" s="22" t="inlineStr">
        <is>
          <t>Алагеум</t>
        </is>
      </c>
      <c r="C8" s="22" t="n">
        <v>400</v>
      </c>
      <c r="D8" s="22" t="n">
        <v>1260</v>
      </c>
      <c r="E8" s="22" t="n">
        <v>960</v>
      </c>
      <c r="F8" s="22" t="n">
        <v>1240</v>
      </c>
      <c r="G8" s="22" t="n">
        <v>1200</v>
      </c>
      <c r="H8" s="22" t="n">
        <v>577</v>
      </c>
      <c r="I8" s="22" t="inlineStr">
        <is>
          <t>50х5</t>
        </is>
      </c>
      <c r="J8" s="22" t="inlineStr">
        <is>
          <t>50х5</t>
        </is>
      </c>
      <c r="K8" s="22" t="inlineStr">
        <is>
          <t>40х5</t>
        </is>
      </c>
    </row>
    <row r="9">
      <c r="A9" s="23" t="inlineStr">
        <is>
          <t>ТМГ-630 (Алагеум)</t>
        </is>
      </c>
      <c r="B9" s="23" t="inlineStr">
        <is>
          <t>Алагеум</t>
        </is>
      </c>
      <c r="C9" s="23" t="n">
        <v>630</v>
      </c>
      <c r="D9" s="23" t="n">
        <v>1450</v>
      </c>
      <c r="E9" s="23" t="n">
        <v>1000</v>
      </c>
      <c r="F9" s="23" t="n">
        <v>1430</v>
      </c>
      <c r="G9" s="23" t="n">
        <v>1720</v>
      </c>
      <c r="H9" s="23" t="n">
        <v>909</v>
      </c>
      <c r="I9" s="23" t="inlineStr">
        <is>
          <t>50х5</t>
        </is>
      </c>
      <c r="J9" s="23" t="inlineStr">
        <is>
          <t>80х6</t>
        </is>
      </c>
      <c r="K9" s="23" t="inlineStr">
        <is>
          <t>50х5</t>
        </is>
      </c>
    </row>
    <row r="10">
      <c r="A10" s="22" t="inlineStr">
        <is>
          <t>ТМГ-1000 (Алагеум)</t>
        </is>
      </c>
      <c r="B10" s="22" t="inlineStr">
        <is>
          <t>Алагеум</t>
        </is>
      </c>
      <c r="C10" s="22" t="n">
        <v>1000</v>
      </c>
      <c r="D10" s="22" t="n">
        <v>1740</v>
      </c>
      <c r="E10" s="22" t="n">
        <v>1130</v>
      </c>
      <c r="F10" s="22" t="n">
        <v>1450</v>
      </c>
      <c r="G10" s="22" t="n">
        <v>2400</v>
      </c>
      <c r="H10" s="22" t="n">
        <v>1443</v>
      </c>
      <c r="I10" s="22" t="inlineStr">
        <is>
          <t>50х5</t>
        </is>
      </c>
      <c r="J10" s="22" t="inlineStr">
        <is>
          <t>100х8</t>
        </is>
      </c>
      <c r="K10" s="22" t="inlineStr">
        <is>
          <t>80х6</t>
        </is>
      </c>
    </row>
    <row r="11">
      <c r="A11" s="23" t="inlineStr">
        <is>
          <t>ТМГ-1250 (Алагеум)</t>
        </is>
      </c>
      <c r="B11" s="23" t="inlineStr">
        <is>
          <t>Алагеум</t>
        </is>
      </c>
      <c r="C11" s="23" t="n">
        <v>1250</v>
      </c>
      <c r="D11" s="23" t="n">
        <v>1790</v>
      </c>
      <c r="E11" s="23" t="n">
        <v>1070</v>
      </c>
      <c r="F11" s="23" t="n">
        <v>1860</v>
      </c>
      <c r="G11" s="23" t="n">
        <v>3140</v>
      </c>
      <c r="H11" s="23" t="n">
        <v>1803</v>
      </c>
      <c r="I11" s="23" t="inlineStr">
        <is>
          <t>50х5</t>
        </is>
      </c>
      <c r="J11" s="23" t="inlineStr">
        <is>
          <t>2х(80х8)</t>
        </is>
      </c>
      <c r="K11" s="23" t="inlineStr">
        <is>
          <t>80х8</t>
        </is>
      </c>
    </row>
    <row r="12">
      <c r="A12" s="22" t="inlineStr">
        <is>
          <t>ТМГ-1600 (Алагеум)</t>
        </is>
      </c>
      <c r="B12" s="22" t="inlineStr">
        <is>
          <t>Алагеум</t>
        </is>
      </c>
      <c r="C12" s="22" t="n">
        <v>1600</v>
      </c>
      <c r="D12" s="22" t="n">
        <v>1960</v>
      </c>
      <c r="E12" s="22" t="n">
        <v>1150</v>
      </c>
      <c r="F12" s="22" t="n">
        <v>1840</v>
      </c>
      <c r="G12" s="22" t="n">
        <v>3500</v>
      </c>
      <c r="H12" s="22" t="n">
        <v>2308</v>
      </c>
      <c r="I12" s="22" t="inlineStr">
        <is>
          <t>50х5</t>
        </is>
      </c>
      <c r="J12" s="22" t="inlineStr">
        <is>
          <t>2х(100х10)</t>
        </is>
      </c>
      <c r="K12" s="22" t="inlineStr">
        <is>
          <t>100х8</t>
        </is>
      </c>
    </row>
    <row r="13">
      <c r="A13" s="23" t="inlineStr">
        <is>
          <t>ТМГ-2500 (Алагеум)</t>
        </is>
      </c>
      <c r="B13" s="23" t="inlineStr">
        <is>
          <t>Алагеум</t>
        </is>
      </c>
      <c r="C13" s="23" t="n">
        <v>2500</v>
      </c>
      <c r="D13" s="23" t="n">
        <v>2300</v>
      </c>
      <c r="E13" s="23" t="n">
        <v>1350</v>
      </c>
      <c r="F13" s="23" t="n">
        <v>2100</v>
      </c>
      <c r="G13" s="23" t="n">
        <v>5500</v>
      </c>
      <c r="H13" s="23" t="n">
        <v>3607</v>
      </c>
      <c r="I13" s="23" t="inlineStr">
        <is>
          <t>50х5</t>
        </is>
      </c>
      <c r="J13" s="23" t="inlineStr">
        <is>
          <t>3х(100х10)</t>
        </is>
      </c>
      <c r="K13" s="23" t="inlineStr">
        <is>
          <t>100х10</t>
        </is>
      </c>
    </row>
    <row r="14">
      <c r="A14" s="22" t="inlineStr">
        <is>
          <t>ТСЛ-250 (Алагеум)</t>
        </is>
      </c>
      <c r="B14" s="22" t="inlineStr">
        <is>
          <t>Алагеум</t>
        </is>
      </c>
      <c r="C14" s="22" t="n">
        <v>250</v>
      </c>
      <c r="D14" s="22" t="n">
        <v>1200</v>
      </c>
      <c r="E14" s="22" t="n">
        <v>750</v>
      </c>
      <c r="F14" s="22" t="n">
        <v>1300</v>
      </c>
      <c r="G14" s="22" t="n">
        <v>1150</v>
      </c>
      <c r="H14" s="22" t="n">
        <v>360</v>
      </c>
      <c r="I14" s="22" t="inlineStr">
        <is>
          <t>50х5</t>
        </is>
      </c>
      <c r="J14" s="22" t="inlineStr">
        <is>
          <t>40х5</t>
        </is>
      </c>
      <c r="K14" s="22" t="inlineStr">
        <is>
          <t>40х4</t>
        </is>
      </c>
    </row>
    <row r="15">
      <c r="A15" s="23" t="inlineStr">
        <is>
          <t>ТСЛ-400 (Алагеум)</t>
        </is>
      </c>
      <c r="B15" s="23" t="inlineStr">
        <is>
          <t>Алагеум</t>
        </is>
      </c>
      <c r="C15" s="23" t="n">
        <v>400</v>
      </c>
      <c r="D15" s="23" t="n">
        <v>1350</v>
      </c>
      <c r="E15" s="23" t="n">
        <v>850</v>
      </c>
      <c r="F15" s="23" t="n">
        <v>1450</v>
      </c>
      <c r="G15" s="23" t="n">
        <v>1600</v>
      </c>
      <c r="H15" s="23" t="n">
        <v>577</v>
      </c>
      <c r="I15" s="23" t="inlineStr">
        <is>
          <t>50х5</t>
        </is>
      </c>
      <c r="J15" s="23" t="inlineStr">
        <is>
          <t>50х5</t>
        </is>
      </c>
      <c r="K15" s="23" t="inlineStr">
        <is>
          <t>40х5</t>
        </is>
      </c>
    </row>
    <row r="16">
      <c r="A16" s="22" t="inlineStr">
        <is>
          <t>ТСЛ-630 (Алагеум)</t>
        </is>
      </c>
      <c r="B16" s="22" t="inlineStr">
        <is>
          <t>Алагеум</t>
        </is>
      </c>
      <c r="C16" s="22" t="n">
        <v>630</v>
      </c>
      <c r="D16" s="22" t="n">
        <v>1450</v>
      </c>
      <c r="E16" s="22" t="n">
        <v>900</v>
      </c>
      <c r="F16" s="22" t="n">
        <v>1600</v>
      </c>
      <c r="G16" s="22" t="n">
        <v>2100</v>
      </c>
      <c r="H16" s="22" t="n">
        <v>909</v>
      </c>
      <c r="I16" s="22" t="inlineStr">
        <is>
          <t>50х5</t>
        </is>
      </c>
      <c r="J16" s="22" t="inlineStr">
        <is>
          <t>80х6</t>
        </is>
      </c>
      <c r="K16" s="22" t="inlineStr">
        <is>
          <t>50х5</t>
        </is>
      </c>
    </row>
    <row r="17">
      <c r="A17" s="23" t="inlineStr">
        <is>
          <t>ТСЛ-1000 (Алагеум)</t>
        </is>
      </c>
      <c r="B17" s="23" t="inlineStr">
        <is>
          <t>Алагеум</t>
        </is>
      </c>
      <c r="C17" s="23" t="n">
        <v>1000</v>
      </c>
      <c r="D17" s="23" t="n">
        <v>1600</v>
      </c>
      <c r="E17" s="23" t="n">
        <v>1000</v>
      </c>
      <c r="F17" s="23" t="n">
        <v>1850</v>
      </c>
      <c r="G17" s="23" t="n">
        <v>3100</v>
      </c>
      <c r="H17" s="23" t="n">
        <v>1443</v>
      </c>
      <c r="I17" s="23" t="inlineStr">
        <is>
          <t>50х5</t>
        </is>
      </c>
      <c r="J17" s="23" t="inlineStr">
        <is>
          <t>100х8</t>
        </is>
      </c>
      <c r="K17" s="23" t="inlineStr">
        <is>
          <t>80х6</t>
        </is>
      </c>
    </row>
    <row r="18">
      <c r="A18" s="22" t="inlineStr">
        <is>
          <t>ТСЛ-1250 (Алагеум)</t>
        </is>
      </c>
      <c r="B18" s="22" t="inlineStr">
        <is>
          <t>Алагеум</t>
        </is>
      </c>
      <c r="C18" s="22" t="n">
        <v>1250</v>
      </c>
      <c r="D18" s="22" t="n">
        <v>1700</v>
      </c>
      <c r="E18" s="22" t="n">
        <v>1050</v>
      </c>
      <c r="F18" s="22" t="n">
        <v>1950</v>
      </c>
      <c r="G18" s="22" t="n">
        <v>3800</v>
      </c>
      <c r="H18" s="22" t="n">
        <v>1803</v>
      </c>
      <c r="I18" s="22" t="inlineStr">
        <is>
          <t>50х5</t>
        </is>
      </c>
      <c r="J18" s="22" t="inlineStr">
        <is>
          <t>2х(80х8)</t>
        </is>
      </c>
      <c r="K18" s="22" t="inlineStr">
        <is>
          <t>80х8</t>
        </is>
      </c>
    </row>
    <row r="19">
      <c r="A19" s="23" t="inlineStr">
        <is>
          <t>ТСЛ-1600 (Алагеум)</t>
        </is>
      </c>
      <c r="B19" s="23" t="inlineStr">
        <is>
          <t>Алагеум</t>
        </is>
      </c>
      <c r="C19" s="23" t="n">
        <v>1600</v>
      </c>
      <c r="D19" s="23" t="n">
        <v>1800</v>
      </c>
      <c r="E19" s="23" t="n">
        <v>1100</v>
      </c>
      <c r="F19" s="23" t="n">
        <v>2100</v>
      </c>
      <c r="G19" s="23" t="n">
        <v>4600</v>
      </c>
      <c r="H19" s="23" t="n">
        <v>2308</v>
      </c>
      <c r="I19" s="23" t="inlineStr">
        <is>
          <t>50х5</t>
        </is>
      </c>
      <c r="J19" s="23" t="inlineStr">
        <is>
          <t>2х(100х10)</t>
        </is>
      </c>
      <c r="K19" s="23" t="inlineStr">
        <is>
          <t>100х8</t>
        </is>
      </c>
    </row>
    <row r="20">
      <c r="A20" s="22" t="inlineStr">
        <is>
          <t>ТСЛ-2000 (Алагеум)</t>
        </is>
      </c>
      <c r="B20" s="22" t="inlineStr">
        <is>
          <t>Алагеум</t>
        </is>
      </c>
      <c r="C20" s="22" t="n">
        <v>2000</v>
      </c>
      <c r="D20" s="22" t="n">
        <v>1900</v>
      </c>
      <c r="E20" s="22" t="n">
        <v>1150</v>
      </c>
      <c r="F20" s="22" t="n">
        <v>2200</v>
      </c>
      <c r="G20" s="22" t="n">
        <v>5600</v>
      </c>
      <c r="H20" s="22" t="n">
        <v>2886</v>
      </c>
      <c r="I20" s="22" t="inlineStr">
        <is>
          <t>50х5</t>
        </is>
      </c>
      <c r="J20" s="22" t="inlineStr">
        <is>
          <t>3х(100х10)</t>
        </is>
      </c>
      <c r="K20" s="22" t="inlineStr">
        <is>
          <t>100х10</t>
        </is>
      </c>
    </row>
    <row r="21">
      <c r="A21" s="23" t="inlineStr">
        <is>
          <t>ТСЛ-2500 (Алагеум)</t>
        </is>
      </c>
      <c r="B21" s="23" t="inlineStr">
        <is>
          <t>Алагеум</t>
        </is>
      </c>
      <c r="C21" s="23" t="n">
        <v>2500</v>
      </c>
      <c r="D21" s="23" t="n">
        <v>2000</v>
      </c>
      <c r="E21" s="23" t="n">
        <v>1200</v>
      </c>
      <c r="F21" s="23" t="n">
        <v>2350</v>
      </c>
      <c r="G21" s="23" t="n">
        <v>6700</v>
      </c>
      <c r="H21" s="23" t="n">
        <v>3607</v>
      </c>
      <c r="I21" s="23" t="inlineStr">
        <is>
          <t>50х5</t>
        </is>
      </c>
      <c r="J21" s="23" t="inlineStr">
        <is>
          <t>3х(100х10)</t>
        </is>
      </c>
      <c r="K21" s="23" t="inlineStr">
        <is>
          <t>100х10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ManufacturerList</t>
        </is>
      </c>
      <c r="B1" t="inlineStr">
        <is>
          <t>Алттранс</t>
        </is>
      </c>
      <c r="C1" t="inlineStr">
        <is>
          <t>СВЭЛ</t>
        </is>
      </c>
      <c r="D1" t="inlineStr">
        <is>
          <t>МЭТЗ</t>
        </is>
      </c>
      <c r="E1" t="inlineStr">
        <is>
          <t>Электрощит</t>
        </is>
      </c>
      <c r="F1" t="inlineStr">
        <is>
          <t>Трансформер</t>
        </is>
      </c>
      <c r="G1" t="inlineStr">
        <is>
          <t>Алагеум</t>
        </is>
      </c>
      <c r="H1" t="inlineStr">
        <is>
          <t>empty_list</t>
        </is>
      </c>
      <c r="I1" t="inlineStr">
        <is>
          <t>steel_type</t>
        </is>
      </c>
      <c r="J1" t="inlineStr">
        <is>
          <t>steel_thickness</t>
        </is>
      </c>
      <c r="K1" t="inlineStr">
        <is>
          <t>channel_size</t>
        </is>
      </c>
      <c r="L1" t="inlineStr">
        <is>
          <t>ral_colors</t>
        </is>
      </c>
      <c r="M1" t="inlineStr">
        <is>
          <t>grid_company</t>
        </is>
      </c>
      <c r="N1" t="inlineStr">
        <is>
          <t>manuf_pvr</t>
        </is>
      </c>
      <c r="O1" t="inlineStr">
        <is>
          <t>manuf_re</t>
        </is>
      </c>
      <c r="P1" t="inlineStr">
        <is>
          <t>manuf_rps</t>
        </is>
      </c>
      <c r="Q1" t="inlineStr">
        <is>
          <t>manuf_av</t>
        </is>
      </c>
      <c r="R1" t="inlineStr">
        <is>
          <t>yn</t>
        </is>
      </c>
      <c r="S1" t="inlineStr">
        <is>
          <t>ruvn_type</t>
        </is>
      </c>
      <c r="T1" t="inlineStr">
        <is>
          <t>ruvn_switch</t>
        </is>
      </c>
      <c r="U1" t="inlineStr">
        <is>
          <t>ruvn_nom</t>
        </is>
      </c>
      <c r="V1" t="inlineStr">
        <is>
          <t>volt</t>
        </is>
      </c>
      <c r="W1" t="inlineStr">
        <is>
          <t>fuse</t>
        </is>
      </c>
      <c r="X1" t="inlineStr">
        <is>
          <t>fuse_nom</t>
        </is>
      </c>
      <c r="Y1" t="inlineStr">
        <is>
          <t>Толщина</t>
        </is>
      </c>
      <c r="Z1" t="inlineStr">
        <is>
          <t>Вес_м2</t>
        </is>
      </c>
      <c r="AA1" t="inlineStr">
        <is>
          <t>Швеллер</t>
        </is>
      </c>
      <c r="AB1" t="inlineStr">
        <is>
          <t>Вес_м</t>
        </is>
      </c>
    </row>
    <row r="2">
      <c r="A2" t="inlineStr">
        <is>
          <t>Алттранс</t>
        </is>
      </c>
      <c r="B2" t="inlineStr">
        <is>
          <t>ТМГ-25</t>
        </is>
      </c>
      <c r="C2" t="inlineStr">
        <is>
          <t>ТМГ-160 (СВЭЛ)</t>
        </is>
      </c>
      <c r="D2" t="inlineStr">
        <is>
          <t>ТМГ-25 (МЭТЗ)</t>
        </is>
      </c>
      <c r="E2" t="inlineStr">
        <is>
          <t>ТМГ-160 (Электрощит)</t>
        </is>
      </c>
      <c r="F2" t="inlineStr">
        <is>
          <t>ТСЛ-250 (Трансформер)</t>
        </is>
      </c>
      <c r="G2" t="inlineStr">
        <is>
          <t>ТМГ-25 (Алагеум)</t>
        </is>
      </c>
      <c r="H2" t="inlineStr">
        <is>
          <t>-</t>
        </is>
      </c>
      <c r="I2" t="inlineStr">
        <is>
          <t>Холоднокатаная (х.к.)</t>
        </is>
      </c>
      <c r="J2" t="inlineStr">
        <is>
          <t>1.5</t>
        </is>
      </c>
      <c r="K2" t="inlineStr">
        <is>
          <t>6П</t>
        </is>
      </c>
      <c r="L2" t="inlineStr">
        <is>
          <t>RAL 7035 (Светло-серый)</t>
        </is>
      </c>
      <c r="M2" t="inlineStr">
        <is>
          <t>Россети</t>
        </is>
      </c>
      <c r="N2" t="inlineStr">
        <is>
          <t>КЭАЗ</t>
        </is>
      </c>
      <c r="O2" t="inlineStr">
        <is>
          <t>КЭАЗ</t>
        </is>
      </c>
      <c r="P2" t="inlineStr">
        <is>
          <t>Кореневский завод НВА</t>
        </is>
      </c>
      <c r="Q2" t="inlineStr">
        <is>
          <t>КЭАЗ</t>
        </is>
      </c>
      <c r="R2" t="inlineStr">
        <is>
          <t>Да</t>
        </is>
      </c>
      <c r="S2" t="inlineStr">
        <is>
          <t>Тупиковая</t>
        </is>
      </c>
      <c r="T2" t="inlineStr">
        <is>
          <t>ВНА</t>
        </is>
      </c>
      <c r="U2" t="inlineStr">
        <is>
          <t>400</t>
        </is>
      </c>
      <c r="V2" t="inlineStr">
        <is>
          <t>10 кВ</t>
        </is>
      </c>
      <c r="W2" t="inlineStr">
        <is>
          <t>ПКТ-101</t>
        </is>
      </c>
      <c r="X2" t="inlineStr">
        <is>
          <t>Нет</t>
        </is>
      </c>
      <c r="Y2" t="inlineStr">
        <is>
          <t>1.5</t>
        </is>
      </c>
      <c r="Z2" t="n">
        <v>11.78</v>
      </c>
      <c r="AA2" t="inlineStr">
        <is>
          <t>6П</t>
        </is>
      </c>
      <c r="AB2" t="n">
        <v>7.09</v>
      </c>
    </row>
    <row r="3">
      <c r="A3" t="inlineStr">
        <is>
          <t>СВЭЛ</t>
        </is>
      </c>
      <c r="B3" t="inlineStr">
        <is>
          <t>ТМГ-40</t>
        </is>
      </c>
      <c r="C3" t="inlineStr">
        <is>
          <t>ТМГ-250 (СВЭЛ)</t>
        </is>
      </c>
      <c r="D3" t="inlineStr">
        <is>
          <t>ТМГ-40 (МЭТЗ)</t>
        </is>
      </c>
      <c r="E3" t="inlineStr">
        <is>
          <t>ТМГ-250 (Электрощит)</t>
        </is>
      </c>
      <c r="F3" t="inlineStr">
        <is>
          <t>ТСЛ-400 (Трансформер)</t>
        </is>
      </c>
      <c r="G3" t="inlineStr">
        <is>
          <t>ТМГ-40 (Алагеум)</t>
        </is>
      </c>
      <c r="I3" t="inlineStr">
        <is>
          <t>Оцинкованная</t>
        </is>
      </c>
      <c r="J3" t="inlineStr">
        <is>
          <t>2.0</t>
        </is>
      </c>
      <c r="K3" t="inlineStr">
        <is>
          <t>6У</t>
        </is>
      </c>
      <c r="L3" t="inlineStr">
        <is>
          <t>RAL 7040 (Серый окованный)</t>
        </is>
      </c>
      <c r="M3" t="inlineStr">
        <is>
          <t>АО Облкоммунэнерго</t>
        </is>
      </c>
      <c r="N3" t="inlineStr">
        <is>
          <t>IEK</t>
        </is>
      </c>
      <c r="O3" t="inlineStr">
        <is>
          <t>Кореневский завод НВА</t>
        </is>
      </c>
      <c r="P3" t="inlineStr">
        <is>
          <t>КЭАЗ</t>
        </is>
      </c>
      <c r="Q3" t="inlineStr">
        <is>
          <t>Контактор</t>
        </is>
      </c>
      <c r="R3" t="inlineStr">
        <is>
          <t>Нет</t>
        </is>
      </c>
      <c r="S3" t="inlineStr">
        <is>
          <t>Проходная</t>
        </is>
      </c>
      <c r="T3" t="inlineStr">
        <is>
          <t>РВЗ</t>
        </is>
      </c>
      <c r="U3" t="inlineStr">
        <is>
          <t>630</t>
        </is>
      </c>
      <c r="V3" t="inlineStr">
        <is>
          <t>6 кВ</t>
        </is>
      </c>
      <c r="W3" t="inlineStr">
        <is>
          <t>ПКТ-102</t>
        </is>
      </c>
      <c r="X3" t="inlineStr">
        <is>
          <t>2А</t>
        </is>
      </c>
      <c r="Y3" t="inlineStr">
        <is>
          <t>2.0</t>
        </is>
      </c>
      <c r="Z3" t="n">
        <v>15.7</v>
      </c>
      <c r="AA3" t="inlineStr">
        <is>
          <t>6У</t>
        </is>
      </c>
      <c r="AB3" t="n">
        <v>7.09</v>
      </c>
    </row>
    <row r="4">
      <c r="A4" t="inlineStr">
        <is>
          <t>МЭТЗ</t>
        </is>
      </c>
      <c r="B4" t="inlineStr">
        <is>
          <t>ТМГ-63</t>
        </is>
      </c>
      <c r="C4" t="inlineStr">
        <is>
          <t>ТМГ-400 (СВЭЛ)</t>
        </is>
      </c>
      <c r="D4" t="inlineStr">
        <is>
          <t>ТМГ-63 (МЭТЗ)</t>
        </is>
      </c>
      <c r="E4" t="inlineStr">
        <is>
          <t>ТМГ-400 (Электрощит)</t>
        </is>
      </c>
      <c r="F4" t="inlineStr">
        <is>
          <t>ТСЛ-630 (Трансформер)</t>
        </is>
      </c>
      <c r="G4" t="inlineStr">
        <is>
          <t>ТМГ-63 (Алагеум)</t>
        </is>
      </c>
      <c r="J4" t="inlineStr">
        <is>
          <t>2.5</t>
        </is>
      </c>
      <c r="K4" t="inlineStr">
        <is>
          <t>8П</t>
        </is>
      </c>
      <c r="L4" t="inlineStr">
        <is>
          <t>RAL 6005 (Зеленый мох)</t>
        </is>
      </c>
      <c r="M4" t="inlineStr">
        <is>
          <t>АО ЕЭСК</t>
        </is>
      </c>
      <c r="N4" t="inlineStr">
        <is>
          <t>EKF</t>
        </is>
      </c>
      <c r="O4" t="inlineStr">
        <is>
          <t>IEK</t>
        </is>
      </c>
      <c r="P4" t="inlineStr">
        <is>
          <t>CHINT</t>
        </is>
      </c>
      <c r="Q4" t="inlineStr">
        <is>
          <t>IEK</t>
        </is>
      </c>
      <c r="S4" t="inlineStr">
        <is>
          <t>Нет</t>
        </is>
      </c>
      <c r="T4" t="inlineStr">
        <is>
          <t>Нет</t>
        </is>
      </c>
      <c r="U4" t="inlineStr">
        <is>
          <t>1000</t>
        </is>
      </c>
      <c r="W4" t="inlineStr">
        <is>
          <t>ПКТ-103</t>
        </is>
      </c>
      <c r="X4" t="inlineStr">
        <is>
          <t>3.15А</t>
        </is>
      </c>
      <c r="Y4" t="inlineStr">
        <is>
          <t>2.5</t>
        </is>
      </c>
      <c r="Z4" t="n">
        <v>19.63</v>
      </c>
      <c r="AA4" t="inlineStr">
        <is>
          <t>8П</t>
        </is>
      </c>
      <c r="AB4" t="n">
        <v>7.05</v>
      </c>
    </row>
    <row r="5">
      <c r="A5" t="inlineStr">
        <is>
          <t>Электрощит</t>
        </is>
      </c>
      <c r="B5" t="inlineStr">
        <is>
          <t>ТМГ-100</t>
        </is>
      </c>
      <c r="C5" t="inlineStr">
        <is>
          <t>ТМГ-630 (СВЭЛ)</t>
        </is>
      </c>
      <c r="D5" t="inlineStr">
        <is>
          <t>ТМГ-100 (МЭТЗ)</t>
        </is>
      </c>
      <c r="E5" t="inlineStr">
        <is>
          <t>ТМГ-630 (Электрощит)</t>
        </is>
      </c>
      <c r="F5" t="inlineStr">
        <is>
          <t>ТСЛ-1000 (Трансформер)</t>
        </is>
      </c>
      <c r="G5" t="inlineStr">
        <is>
          <t>ТМГ-100 (Алагеум)</t>
        </is>
      </c>
      <c r="J5" t="inlineStr">
        <is>
          <t>3.0</t>
        </is>
      </c>
      <c r="K5" t="inlineStr">
        <is>
          <t>8У</t>
        </is>
      </c>
      <c r="L5" t="inlineStr">
        <is>
          <t>RAL 5005 (Сигнальный синий)</t>
        </is>
      </c>
      <c r="M5" t="inlineStr">
        <is>
          <t>ОАО РЖД</t>
        </is>
      </c>
      <c r="N5" t="inlineStr">
        <is>
          <t>CHINT</t>
        </is>
      </c>
      <c r="O5" t="inlineStr">
        <is>
          <t>CHINT</t>
        </is>
      </c>
      <c r="Q5" t="inlineStr">
        <is>
          <t>EKF</t>
        </is>
      </c>
      <c r="W5" t="inlineStr">
        <is>
          <t>Нет</t>
        </is>
      </c>
      <c r="X5" t="inlineStr">
        <is>
          <t>5А</t>
        </is>
      </c>
      <c r="Y5" t="inlineStr">
        <is>
          <t>3.0</t>
        </is>
      </c>
      <c r="Z5" t="n">
        <v>23.55</v>
      </c>
      <c r="AA5" t="inlineStr">
        <is>
          <t>8У</t>
        </is>
      </c>
      <c r="AB5" t="n">
        <v>7.05</v>
      </c>
    </row>
    <row r="6">
      <c r="A6" t="inlineStr">
        <is>
          <t>Трансформер</t>
        </is>
      </c>
      <c r="B6" t="inlineStr">
        <is>
          <t>ТМГ-160</t>
        </is>
      </c>
      <c r="C6" t="inlineStr">
        <is>
          <t>ТМГ-1000 (СВЭЛ)</t>
        </is>
      </c>
      <c r="D6" t="inlineStr">
        <is>
          <t>ТМГ-160 (МЭТЗ)</t>
        </is>
      </c>
      <c r="E6" t="inlineStr">
        <is>
          <t>ТМГ-1000 (Электрощит)</t>
        </is>
      </c>
      <c r="F6" t="inlineStr">
        <is>
          <t>ТСЛ-1600 (Трансформер)</t>
        </is>
      </c>
      <c r="G6" t="inlineStr">
        <is>
          <t>ТМГ-160 (Алагеум)</t>
        </is>
      </c>
      <c r="K6" t="inlineStr">
        <is>
          <t>10П</t>
        </is>
      </c>
      <c r="L6" t="inlineStr">
        <is>
          <t>RAL 9010 (Чистый белый)</t>
        </is>
      </c>
      <c r="M6" t="inlineStr">
        <is>
          <t>Без логотипа (по ТЗ)</t>
        </is>
      </c>
      <c r="N6" t="inlineStr">
        <is>
          <t>Апатор-Электро</t>
        </is>
      </c>
      <c r="Q6" t="inlineStr">
        <is>
          <t>ДКС (DKC)</t>
        </is>
      </c>
      <c r="X6" t="inlineStr">
        <is>
          <t>8А</t>
        </is>
      </c>
      <c r="Z6" t="inlineStr">
        <is>
          <t>1000</t>
        </is>
      </c>
      <c r="AA6" t="inlineStr">
        <is>
          <t>10П</t>
        </is>
      </c>
      <c r="AB6" t="n">
        <v>8.59</v>
      </c>
    </row>
    <row r="7">
      <c r="A7" t="inlineStr">
        <is>
          <t>Алагеум</t>
        </is>
      </c>
      <c r="B7" t="inlineStr">
        <is>
          <t>ТМГ-250</t>
        </is>
      </c>
      <c r="C7" t="inlineStr">
        <is>
          <t>ТМГ-1600 (СВЭЛ)</t>
        </is>
      </c>
      <c r="D7" t="inlineStr">
        <is>
          <t>ТМГ-250 (МЭТЗ)</t>
        </is>
      </c>
      <c r="E7" t="inlineStr">
        <is>
          <t>ТМГ-1600 (Электрощит)</t>
        </is>
      </c>
      <c r="F7" t="inlineStr">
        <is>
          <t>ТСЛ-2500 (Трансформер)</t>
        </is>
      </c>
      <c r="G7" t="inlineStr">
        <is>
          <t>ТМГ-250 (Алагеум)</t>
        </is>
      </c>
      <c r="K7" t="inlineStr">
        <is>
          <t>10У</t>
        </is>
      </c>
      <c r="L7" t="inlineStr">
        <is>
          <t>RAL 9005 (Глубокий черный)</t>
        </is>
      </c>
      <c r="Q7" t="inlineStr">
        <is>
          <t>CHINT</t>
        </is>
      </c>
      <c r="X7" t="inlineStr">
        <is>
          <t>10А</t>
        </is>
      </c>
      <c r="Z7" t="inlineStr">
        <is>
          <t>1600</t>
        </is>
      </c>
      <c r="AA7" t="inlineStr">
        <is>
          <t>10У</t>
        </is>
      </c>
      <c r="AB7" t="n">
        <v>8.59</v>
      </c>
    </row>
    <row r="8">
      <c r="B8" t="inlineStr">
        <is>
          <t>ТМГ-400</t>
        </is>
      </c>
      <c r="C8" t="inlineStr">
        <is>
          <t>ТМГ-2500 (СВЭЛ)</t>
        </is>
      </c>
      <c r="D8" t="inlineStr">
        <is>
          <t>ТМГ-400 (МЭТЗ)</t>
        </is>
      </c>
      <c r="E8" t="inlineStr">
        <is>
          <t>ТСЛ-400 (Электрощит)</t>
        </is>
      </c>
      <c r="G8" t="inlineStr">
        <is>
          <t>ТМГ-400 (Алагеум)</t>
        </is>
      </c>
      <c r="K8" t="inlineStr">
        <is>
          <t>12П</t>
        </is>
      </c>
      <c r="L8" t="inlineStr">
        <is>
          <t>RAL 1015 (Светлая слоновая кость)</t>
        </is>
      </c>
      <c r="X8" t="inlineStr">
        <is>
          <t>16А</t>
        </is>
      </c>
      <c r="Z8" t="inlineStr">
        <is>
          <t>2500</t>
        </is>
      </c>
      <c r="AA8" t="inlineStr">
        <is>
          <t>12П</t>
        </is>
      </c>
      <c r="AB8" t="n">
        <v>10.4</v>
      </c>
    </row>
    <row r="9">
      <c r="B9" t="inlineStr">
        <is>
          <t>ТМГ-630</t>
        </is>
      </c>
      <c r="C9" t="inlineStr">
        <is>
          <t>ТСЛ-400 (СВЭЛ)</t>
        </is>
      </c>
      <c r="D9" t="inlineStr">
        <is>
          <t>ТМГ-630 (МЭТЗ)</t>
        </is>
      </c>
      <c r="E9" t="inlineStr">
        <is>
          <t>ТСЛ-630 (Электрощит)</t>
        </is>
      </c>
      <c r="G9" t="inlineStr">
        <is>
          <t>ТМГ-630 (Алагеум)</t>
        </is>
      </c>
      <c r="K9" t="inlineStr">
        <is>
          <t>12У</t>
        </is>
      </c>
      <c r="L9" t="inlineStr">
        <is>
          <t>RAL 3020 (Сигнальный красный)</t>
        </is>
      </c>
      <c r="X9" t="inlineStr">
        <is>
          <t>20А</t>
        </is>
      </c>
      <c r="AA9" t="inlineStr">
        <is>
          <t>12У</t>
        </is>
      </c>
      <c r="AB9" t="n">
        <v>10.4</v>
      </c>
    </row>
    <row r="10">
      <c r="B10" t="inlineStr">
        <is>
          <t>ТМГ-1000</t>
        </is>
      </c>
      <c r="C10" t="inlineStr">
        <is>
          <t>ТСЛ-630 (СВЭЛ)</t>
        </is>
      </c>
      <c r="D10" t="inlineStr">
        <is>
          <t>ТМГ-1000 (МЭТЗ)</t>
        </is>
      </c>
      <c r="E10" t="inlineStr">
        <is>
          <t>ТСЛ-1000 (Электрощит)</t>
        </is>
      </c>
      <c r="G10" t="inlineStr">
        <is>
          <t>ТМГ-1000 (Алагеум)</t>
        </is>
      </c>
      <c r="K10" t="inlineStr">
        <is>
          <t>14П</t>
        </is>
      </c>
      <c r="L10" t="inlineStr">
        <is>
          <t>Другой (указать в примечании)</t>
        </is>
      </c>
      <c r="X10" t="inlineStr">
        <is>
          <t>31.5А</t>
        </is>
      </c>
      <c r="AA10" t="inlineStr">
        <is>
          <t>14П</t>
        </is>
      </c>
      <c r="AB10" t="n">
        <v>12.3</v>
      </c>
    </row>
    <row r="11">
      <c r="B11" t="inlineStr">
        <is>
          <t>ТМГ-1250</t>
        </is>
      </c>
      <c r="C11" t="inlineStr">
        <is>
          <t>ТСЛ-1000 (СВЭЛ)</t>
        </is>
      </c>
      <c r="D11" t="inlineStr">
        <is>
          <t>ТМГ-1250 (МЭТЗ)</t>
        </is>
      </c>
      <c r="E11" t="inlineStr">
        <is>
          <t>ТСЛ-1600 (Электрощит)</t>
        </is>
      </c>
      <c r="G11" t="inlineStr">
        <is>
          <t>ТМГ-1250 (Алагеум)</t>
        </is>
      </c>
      <c r="K11" t="inlineStr">
        <is>
          <t>14У</t>
        </is>
      </c>
      <c r="X11" t="inlineStr">
        <is>
          <t>40А</t>
        </is>
      </c>
      <c r="AA11" t="inlineStr">
        <is>
          <t>14У</t>
        </is>
      </c>
      <c r="AB11" t="n">
        <v>12.3</v>
      </c>
    </row>
    <row r="12">
      <c r="B12" t="inlineStr">
        <is>
          <t>ТМГ-1600</t>
        </is>
      </c>
      <c r="C12" t="inlineStr">
        <is>
          <t>ТСЛ-1600 (СВЭЛ)</t>
        </is>
      </c>
      <c r="D12" t="inlineStr">
        <is>
          <t>ТМГ-1600 (МЭТЗ)</t>
        </is>
      </c>
      <c r="E12" t="inlineStr">
        <is>
          <t>ТСЛ-2500 (Электрощит)</t>
        </is>
      </c>
      <c r="G12" t="inlineStr">
        <is>
          <t>ТМГ-1600 (Алагеум)</t>
        </is>
      </c>
      <c r="K12" t="inlineStr">
        <is>
          <t>16П</t>
        </is>
      </c>
      <c r="X12" t="inlineStr">
        <is>
          <t>50А</t>
        </is>
      </c>
      <c r="AA12" t="inlineStr">
        <is>
          <t>16П</t>
        </is>
      </c>
      <c r="AB12" t="n">
        <v>14.2</v>
      </c>
    </row>
    <row r="13">
      <c r="B13" t="inlineStr">
        <is>
          <t>ТМГ-2500</t>
        </is>
      </c>
      <c r="C13" t="inlineStr">
        <is>
          <t>ТСЛ-2500 (СВЭЛ)</t>
        </is>
      </c>
      <c r="D13" t="inlineStr">
        <is>
          <t>ТМГ-2500 (МЭТЗ)</t>
        </is>
      </c>
      <c r="G13" t="inlineStr">
        <is>
          <t>ТМГ-2500 (Алагеум)</t>
        </is>
      </c>
      <c r="K13" t="inlineStr">
        <is>
          <t>16У</t>
        </is>
      </c>
      <c r="X13" t="inlineStr">
        <is>
          <t>63А</t>
        </is>
      </c>
      <c r="AA13" t="inlineStr">
        <is>
          <t>16У</t>
        </is>
      </c>
      <c r="AB13" t="n">
        <v>14.2</v>
      </c>
    </row>
    <row r="14">
      <c r="G14" t="inlineStr">
        <is>
          <t>ТСЛ-250 (Алагеум)</t>
        </is>
      </c>
      <c r="X14" t="inlineStr">
        <is>
          <t>80А</t>
        </is>
      </c>
      <c r="AB14" t="inlineStr">
        <is>
          <t>400</t>
        </is>
      </c>
    </row>
    <row r="15">
      <c r="G15" t="inlineStr">
        <is>
          <t>ТСЛ-400 (Алагеум)</t>
        </is>
      </c>
      <c r="X15" t="inlineStr">
        <is>
          <t>100А</t>
        </is>
      </c>
      <c r="AB15" t="inlineStr">
        <is>
          <t>630</t>
        </is>
      </c>
    </row>
    <row r="16">
      <c r="G16" t="inlineStr">
        <is>
          <t>ТСЛ-630 (Алагеум)</t>
        </is>
      </c>
      <c r="X16" t="inlineStr">
        <is>
          <t>160А</t>
        </is>
      </c>
      <c r="AB16" t="inlineStr">
        <is>
          <t>1000</t>
        </is>
      </c>
    </row>
    <row r="17">
      <c r="G17" t="inlineStr">
        <is>
          <t>ТСЛ-1000 (Алагеум)</t>
        </is>
      </c>
      <c r="AB17" t="inlineStr">
        <is>
          <t>1600</t>
        </is>
      </c>
    </row>
    <row r="18">
      <c r="G18" t="inlineStr">
        <is>
          <t>ТСЛ-1250 (Алагеум)</t>
        </is>
      </c>
      <c r="AB18" t="inlineStr">
        <is>
          <t>2000</t>
        </is>
      </c>
    </row>
    <row r="19">
      <c r="G19" t="inlineStr">
        <is>
          <t>ТСЛ-1600 (Алагеум)</t>
        </is>
      </c>
      <c r="AB19" t="inlineStr">
        <is>
          <t>2500</t>
        </is>
      </c>
    </row>
    <row r="20">
      <c r="G20" t="inlineStr">
        <is>
          <t>ТСЛ-2000 (Алагеум)</t>
        </is>
      </c>
      <c r="AB20" t="inlineStr">
        <is>
          <t>3150</t>
        </is>
      </c>
    </row>
    <row r="21">
      <c r="G21" t="inlineStr">
        <is>
          <t>ТСЛ-2500 (Алагеум)</t>
        </is>
      </c>
      <c r="AB21" t="inlineStr">
        <is>
          <t>4000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>
      <c r="A1" s="3" t="inlineStr">
        <is>
          <t>ПАСПОРТ МЕТАЛЛОКОНСТРУКЦИИ И ГАБАРИТЫ</t>
        </is>
      </c>
    </row>
    <row r="3">
      <c r="A3" s="9" t="inlineStr">
        <is>
          <t>Сетевая компания:</t>
        </is>
      </c>
      <c r="B3" s="4">
        <f>'Расчет КТПН'!B3</f>
        <v/>
      </c>
    </row>
    <row r="4">
      <c r="A4" s="9" t="inlineStr">
        <is>
          <t>Материал корпуса:</t>
        </is>
      </c>
      <c r="B4" s="4">
        <f>'Расчет КТПН'!B11</f>
        <v/>
      </c>
    </row>
    <row r="5">
      <c r="A5" s="9" t="inlineStr">
        <is>
          <t>Толщина металла (мм):</t>
        </is>
      </c>
      <c r="B5" s="4">
        <f>'Расчет КТПН'!D11</f>
        <v/>
      </c>
    </row>
    <row r="6">
      <c r="A6" s="9" t="inlineStr">
        <is>
          <t>Основание (Швеллер):</t>
        </is>
      </c>
      <c r="B6" s="4">
        <f>'Расчет КТПН'!B12</f>
        <v/>
      </c>
    </row>
    <row r="7">
      <c r="A7" s="9" t="inlineStr">
        <is>
          <t>Цвет окраски корпуса:</t>
        </is>
      </c>
      <c r="B7" s="4">
        <f>'Расчет КТПН'!B13</f>
        <v/>
      </c>
    </row>
    <row r="8">
      <c r="A8" s="9" t="inlineStr">
        <is>
          <t>Цвет окраски дверей:</t>
        </is>
      </c>
      <c r="B8" s="4">
        <f>'Расчет КТПН'!D13</f>
        <v/>
      </c>
    </row>
    <row r="9"/>
    <row r="10">
      <c r="A10" s="9" t="inlineStr">
        <is>
          <t>Итоговая длина КТПН (мм):</t>
        </is>
      </c>
      <c r="B10" s="4">
        <f>'Расчет КТПН'!D54</f>
        <v/>
      </c>
    </row>
    <row r="11">
      <c r="A11" s="9" t="inlineStr">
        <is>
          <t>Итоговая ширина КТПН (мм):</t>
        </is>
      </c>
      <c r="B11" s="4">
        <f>'Расчет КТПН'!D55</f>
        <v/>
      </c>
    </row>
    <row r="12">
      <c r="A12" s="9" t="inlineStr">
        <is>
          <t>Итоговая высота КТПН (мм):</t>
        </is>
      </c>
      <c r="B12" s="4">
        <f>'Расчет КТПН'!D56</f>
        <v/>
      </c>
    </row>
    <row r="13"/>
    <row r="14">
      <c r="A14" s="9" t="inlineStr">
        <is>
          <t>Масса основания (кг):</t>
        </is>
      </c>
      <c r="B14" s="4">
        <f>'Расчет КТПН'!D57</f>
        <v/>
      </c>
    </row>
    <row r="15">
      <c r="A15" s="9" t="inlineStr">
        <is>
          <t>Масса корпуса (без основания) (кг):</t>
        </is>
      </c>
      <c r="B15" s="4">
        <f>'Расчет КТПН'!D58</f>
        <v/>
      </c>
    </row>
    <row r="16">
      <c r="A16" s="9" t="inlineStr">
        <is>
          <t>Масса силового трансформатора (кг):</t>
        </is>
      </c>
      <c r="B16" s="4">
        <f>'Расчет КТПН'!E8</f>
        <v/>
      </c>
    </row>
    <row r="17">
      <c r="A17" s="9" t="inlineStr">
        <is>
          <t>Итоговая Масса Брутто (кг):</t>
        </is>
      </c>
      <c r="B17" s="4">
        <f>'Расчет КТПН'!D59</f>
        <v/>
      </c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5" customWidth="1" min="1" max="1"/>
    <col width="50" customWidth="1" min="2" max="2"/>
    <col width="15" customWidth="1" min="3" max="3"/>
  </cols>
  <sheetData>
    <row r="1" ht="50" customHeight="1">
      <c r="A1" s="25" t="inlineStr">
        <is>
          <t>В работу
Конструкторская служба
Отдел Снабжения</t>
        </is>
      </c>
    </row>
    <row r="3">
      <c r="A3" s="26" t="inlineStr">
        <is>
          <t>Приказ № _______ от ___.___.202_ г.</t>
        </is>
      </c>
    </row>
    <row r="4">
      <c r="A4" s="27" t="inlineStr">
        <is>
          <t>На запуск в производство электрооборудования</t>
        </is>
      </c>
    </row>
    <row r="6" ht="25" customHeight="1">
      <c r="A6" s="28" t="inlineStr">
        <is>
          <t>Подписи:  ________________ / М.М. Жамалетдинов           ________________ / М.Д. Богатенков</t>
        </is>
      </c>
    </row>
    <row r="8" ht="45" customHeight="1">
      <c r="A8" s="29" t="inlineStr">
        <is>
          <t>Заводской номер / Дата
Сети / Типовой проект</t>
        </is>
      </c>
      <c r="B8" s="30">
        <f>"№________ / __.__.202_ г." &amp; CHAR(10) &amp; 'Расчет КТПН'!B3 &amp; " / ________________"</f>
        <v/>
      </c>
      <c r="C8" s="31" t="inlineStr">
        <is>
          <t>подпись</t>
        </is>
      </c>
    </row>
    <row r="9" ht="20" customHeight="1">
      <c r="A9" s="16" t="inlineStr">
        <is>
          <t>Напряжение / Мощность / ТМГ</t>
        </is>
      </c>
      <c r="B9" s="32">
        <f>'Расчет КТПН'!B22 &amp; " / " &amp; VLOOKUP('Расчет КТПН'!B5, БД_Трансформаторы!$A$2:$K$200, 3, FALSE) &amp; " кВА / " &amp; 'Расчет КТПН'!B5</f>
        <v/>
      </c>
      <c r="C9" s="33" t="inlineStr"/>
    </row>
    <row r="10" ht="45" customHeight="1">
      <c r="A10" s="16" t="inlineStr">
        <is>
          <t>ПКТ(101,102,103)
Тип КТПН,
Габариты: ШхДхВ</t>
        </is>
      </c>
      <c r="B10" s="32">
        <f>'Расчет КТПН'!B25 &amp; " " &amp; 'Расчет КТПН'!D25 &amp; CHAR(10) &amp; 'Расчет КТПН'!B23 &amp; CHAR(10) &amp; 'Расчет КТПН'!D55 &amp; "x" &amp; 'Расчет КТПН'!D54 &amp; "x" &amp; 'Расчет КТПН'!D56</f>
        <v/>
      </c>
      <c r="C10" s="33" t="inlineStr"/>
    </row>
    <row r="11" ht="20" customHeight="1">
      <c r="A11" s="16" t="inlineStr">
        <is>
          <t>Металл корпуса</t>
        </is>
      </c>
      <c r="B11" s="32">
        <f>'Расчет КТПН'!B11 &amp; " " &amp; 'Расчет КТПН'!D11 &amp; " мм"</f>
        <v/>
      </c>
      <c r="C11" s="33" t="inlineStr"/>
    </row>
    <row r="12" ht="20" customHeight="1">
      <c r="A12" s="16" t="inlineStr">
        <is>
          <t>Металл Пола</t>
        </is>
      </c>
      <c r="B12" s="32">
        <f>"Швеллер " &amp; 'Расчет КТПН'!B12</f>
        <v/>
      </c>
      <c r="C12" s="33" t="inlineStr"/>
    </row>
    <row r="13" ht="45" customHeight="1">
      <c r="A13" s="16" t="inlineStr">
        <is>
          <t>Кол-во дверей тр-ра
Цвет корпуса / толщина ЛКП</t>
        </is>
      </c>
      <c r="B13" s="32">
        <f>"Двухстворчатые распашные двери" &amp; CHAR(10) &amp; 'Расчет КТПН'!B13 &amp; " / ____ мкм"</f>
        <v/>
      </c>
      <c r="C13" s="33" t="inlineStr"/>
    </row>
    <row r="14" ht="20" customHeight="1">
      <c r="A14" s="16" t="inlineStr">
        <is>
          <t>Цвет дверей / толщина ЛКП</t>
        </is>
      </c>
      <c r="B14" s="32">
        <f>'Расчет КТПН'!D13 &amp; " / ____ мкм"</f>
        <v/>
      </c>
      <c r="C14" s="33" t="inlineStr"/>
    </row>
    <row r="15" ht="20" customHeight="1">
      <c r="A15" s="16" t="inlineStr">
        <is>
          <t>Разъединитель РУВН</t>
        </is>
      </c>
      <c r="B15" s="32">
        <f>'Расчет КТПН'!B24 &amp; " " &amp; 'Расчет КТПН'!D24 &amp; "А"</f>
        <v/>
      </c>
      <c r="C15" s="33" t="inlineStr"/>
    </row>
    <row r="16" ht="20" customHeight="1">
      <c r="A16" s="16" t="inlineStr">
        <is>
          <t>Аппаратура РУНН (Ввод)</t>
        </is>
      </c>
      <c r="B16" s="32">
        <f>IF('Расчет КТПН'!B29="Да", "ПВР " &amp; 'Расчет КТПН'!D29 &amp; "А (" &amp; 'Расчет КТПН'!B30 &amp; ")", IF('Расчет КТПН'!B31="Да", "Рубильник РЕ " &amp; 'Расчет КТПН'!D31 &amp; "А (" &amp; 'Расчет КТПН'!B32 &amp; ")", IF('Расчет КТПН'!B33="Да", "Вводной АВ " &amp; 'Расчет КТПН'!D33 &amp; "А (" &amp; 'Расчет КТПН'!B34 &amp; ")", "Не установлен")))</f>
        <v/>
      </c>
      <c r="C16" s="33" t="inlineStr"/>
    </row>
    <row r="17" ht="20" customHeight="1">
      <c r="A17" s="16" t="inlineStr">
        <is>
          <t>Ошиновка РУНН (Ввод)</t>
        </is>
      </c>
      <c r="B17" s="32">
        <f>'Расчет КТПН'!D49</f>
        <v/>
      </c>
      <c r="C17" s="33" t="inlineStr"/>
    </row>
    <row r="18" ht="20" customHeight="1">
      <c r="A18" s="16" t="inlineStr">
        <is>
          <t>Ошиновка РУВН</t>
        </is>
      </c>
      <c r="B18" s="32">
        <f>'Расчет КТПН'!B49</f>
        <v/>
      </c>
      <c r="C18" s="33" t="inlineStr"/>
    </row>
  </sheetData>
  <mergeCells count="4">
    <mergeCell ref="A1:C1"/>
    <mergeCell ref="A4:C4"/>
    <mergeCell ref="A3:C3"/>
    <mergeCell ref="A6:C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20" customWidth="1" min="4" max="4"/>
  </cols>
  <sheetData>
    <row r="1">
      <c r="A1" s="34" t="inlineStr">
        <is>
          <t>Акт осмотра КТПН №_______</t>
        </is>
      </c>
    </row>
    <row r="2">
      <c r="A2" s="9" t="inlineStr">
        <is>
          <t>г. _____________________</t>
        </is>
      </c>
      <c r="D2" s="9" t="inlineStr">
        <is>
          <t>___ .________. 202_ г.</t>
        </is>
      </c>
    </row>
    <row r="4">
      <c r="A4" s="9" t="inlineStr">
        <is>
          <t>Состав комиссии: Инженер по качеству Ершов А.М. / _________________________</t>
        </is>
      </c>
    </row>
    <row r="6">
      <c r="A6" s="35" t="inlineStr">
        <is>
          <t>Критерий проверки</t>
        </is>
      </c>
      <c r="B6" s="35" t="inlineStr">
        <is>
          <t>Статус</t>
        </is>
      </c>
      <c r="C6" s="35" t="inlineStr">
        <is>
          <t>Оценка</t>
        </is>
      </c>
      <c r="D6" s="35" t="inlineStr">
        <is>
          <t>Подпись</t>
        </is>
      </c>
    </row>
    <row r="7" ht="20" customHeight="1">
      <c r="A7" s="36" t="inlineStr">
        <is>
          <t>ОБОРУДОВАНИЕ</t>
        </is>
      </c>
      <c r="B7" s="33" t="n"/>
      <c r="C7" s="33" t="n"/>
      <c r="D7" s="33" t="n"/>
    </row>
    <row r="8" ht="20" customHeight="1">
      <c r="A8" s="23" t="inlineStr">
        <is>
          <t>Наличие перечня оборудования</t>
        </is>
      </c>
      <c r="B8" s="37" t="inlineStr">
        <is>
          <t>[ Да / Нет ]</t>
        </is>
      </c>
      <c r="C8" s="33" t="n"/>
      <c r="D8" s="33" t="n"/>
    </row>
    <row r="9" ht="20" customHeight="1">
      <c r="A9" s="23" t="inlineStr">
        <is>
          <t>Наличие ТЗ от заказчика</t>
        </is>
      </c>
      <c r="B9" s="37" t="inlineStr">
        <is>
          <t>[ Да / Нет ]</t>
        </is>
      </c>
      <c r="C9" s="33" t="n"/>
      <c r="D9" s="33" t="n"/>
    </row>
    <row r="10" ht="20" customHeight="1">
      <c r="A10" s="23" t="inlineStr">
        <is>
          <t>Сравнить ТЗ заказчика с перечнем оборудования</t>
        </is>
      </c>
      <c r="B10" s="37" t="inlineStr">
        <is>
          <t>[ Да / Нет ]</t>
        </is>
      </c>
      <c r="C10" s="33" t="n"/>
      <c r="D10" s="33" t="n"/>
    </row>
    <row r="11" ht="20" customHeight="1">
      <c r="A11" s="23" t="inlineStr">
        <is>
          <t>Сравнить ТЗ заказчика со схемами</t>
        </is>
      </c>
      <c r="B11" s="37" t="inlineStr">
        <is>
          <t>[ Да / Нет ]</t>
        </is>
      </c>
      <c r="C11" s="33" t="n"/>
      <c r="D11" s="33" t="n"/>
    </row>
    <row r="12" ht="20" customHeight="1">
      <c r="A12" s="23" t="inlineStr">
        <is>
          <t>Сравнить фактическое оборудования с перечнем оборудования</t>
        </is>
      </c>
      <c r="B12" s="37" t="inlineStr">
        <is>
          <t>[ Да / Нет ]</t>
        </is>
      </c>
      <c r="C12" s="33" t="n"/>
      <c r="D12" s="33" t="n"/>
    </row>
    <row r="13" ht="20" customHeight="1">
      <c r="A13" s="23" t="inlineStr">
        <is>
          <t>Сравнить фактическое оборудования со схемами</t>
        </is>
      </c>
      <c r="B13" s="37" t="inlineStr">
        <is>
          <t>[ Да / Нет ]</t>
        </is>
      </c>
      <c r="C13" s="33" t="n"/>
      <c r="D13" s="33" t="n"/>
    </row>
    <row r="14" ht="20" customHeight="1">
      <c r="A14" s="36" t="inlineStr">
        <is>
          <t>ВНЕШНИЙ КОРПУС</t>
        </is>
      </c>
      <c r="B14" s="33" t="n"/>
      <c r="C14" s="33" t="n"/>
      <c r="D14" s="33" t="n"/>
    </row>
    <row r="15" ht="20" customHeight="1">
      <c r="A15" s="23">
        <f>"Проверка габаритов: Ш=" &amp; 'Расчет КТПН'!D55 &amp; " Д=" &amp; 'Расчет КТПН'!D54 &amp; " В=" &amp; 'Расчет КТПН'!D56</f>
        <v/>
      </c>
      <c r="B15" s="37" t="inlineStr">
        <is>
          <t>[ Да / Нет ]</t>
        </is>
      </c>
      <c r="C15" s="33" t="n"/>
      <c r="D15" s="33" t="n"/>
    </row>
    <row r="16" ht="20" customHeight="1">
      <c r="A16" s="23">
        <f>"Проверка металла: " &amp; 'Расчет КТПН'!B11 &amp; " " &amp; 'Расчет КТПН'!D11 &amp; "мм"</f>
        <v/>
      </c>
      <c r="B16" s="37" t="inlineStr">
        <is>
          <t>[ Да / Нет ]</t>
        </is>
      </c>
      <c r="C16" s="33" t="n"/>
      <c r="D16" s="33" t="n"/>
    </row>
    <row r="17" ht="20" customHeight="1">
      <c r="A17" s="23" t="inlineStr">
        <is>
          <t>Проверка на отсутствие мусора до закрытия панелями</t>
        </is>
      </c>
      <c r="B17" s="37" t="inlineStr">
        <is>
          <t>[ Да / Нет ]</t>
        </is>
      </c>
      <c r="C17" s="33" t="n"/>
      <c r="D17" s="33" t="n"/>
    </row>
    <row r="18" ht="20" customHeight="1">
      <c r="A18" s="23" t="inlineStr">
        <is>
          <t>Герметик по основанию</t>
        </is>
      </c>
      <c r="B18" s="37" t="inlineStr">
        <is>
          <t>[ Да / Нет ]</t>
        </is>
      </c>
      <c r="C18" s="33" t="n"/>
      <c r="D18" s="33" t="n"/>
    </row>
    <row r="19" ht="20" customHeight="1">
      <c r="A19" s="23" t="inlineStr">
        <is>
          <t>Черное основание</t>
        </is>
      </c>
      <c r="B19" s="37" t="inlineStr">
        <is>
          <t>[ Да / Нет ]</t>
        </is>
      </c>
      <c r="C19" s="33" t="n"/>
      <c r="D19" s="33" t="n"/>
    </row>
    <row r="20" ht="20" customHeight="1">
      <c r="A20" s="23" t="inlineStr">
        <is>
          <t>Проушины в черный цвет</t>
        </is>
      </c>
      <c r="B20" s="37" t="inlineStr">
        <is>
          <t>[ Да / Нет ]</t>
        </is>
      </c>
      <c r="C20" s="33" t="n"/>
      <c r="D20" s="33" t="n"/>
    </row>
    <row r="21" ht="20" customHeight="1">
      <c r="A21" s="23" t="inlineStr">
        <is>
          <t>Маркировка проушин</t>
        </is>
      </c>
      <c r="B21" s="37" t="inlineStr">
        <is>
          <t>[ Да / Нет ]</t>
        </is>
      </c>
      <c r="C21" s="33" t="n"/>
      <c r="D21" s="33" t="n"/>
    </row>
    <row r="22" ht="20" customHeight="1">
      <c r="A22" s="23" t="inlineStr">
        <is>
          <t>Наличие грибка (630 кВ и выше)</t>
        </is>
      </c>
      <c r="B22" s="37" t="inlineStr">
        <is>
          <t>[ Да / Нет ]</t>
        </is>
      </c>
      <c r="C22" s="33" t="n"/>
      <c r="D22" s="33" t="n"/>
    </row>
    <row r="23" ht="20" customHeight="1">
      <c r="A23" s="23" t="inlineStr">
        <is>
          <t>Наличие траверсы на крыши (при условии, что В/В)</t>
        </is>
      </c>
      <c r="B23" s="37" t="inlineStr">
        <is>
          <t>[ Да / Нет ]</t>
        </is>
      </c>
      <c r="C23" s="33" t="n"/>
      <c r="D23" s="33" t="n"/>
    </row>
    <row r="24" ht="20" customHeight="1">
      <c r="A24" s="23" t="inlineStr">
        <is>
          <t>Наличие пластиковой таблички. ТП-86045</t>
        </is>
      </c>
      <c r="B24" s="37" t="inlineStr">
        <is>
          <t>[ Да / Нет ]</t>
        </is>
      </c>
      <c r="C24" s="33" t="n"/>
      <c r="D24" s="33" t="n"/>
    </row>
    <row r="25" ht="20" customHeight="1">
      <c r="A25" s="23">
        <f>"Окраска (Корпус): " &amp; 'Расчет КТПН'!B13</f>
        <v/>
      </c>
      <c r="B25" s="37" t="inlineStr">
        <is>
          <t>[ Да / Нет ]</t>
        </is>
      </c>
      <c r="C25" s="33" t="n"/>
      <c r="D25" s="33" t="n"/>
    </row>
    <row r="26" ht="20" customHeight="1">
      <c r="A26" s="23" t="inlineStr">
        <is>
          <t>Нагар</t>
        </is>
      </c>
      <c r="B26" s="37" t="inlineStr">
        <is>
          <t>[ Да / Нет ]</t>
        </is>
      </c>
      <c r="C26" s="33" t="n"/>
      <c r="D26" s="33" t="n"/>
    </row>
    <row r="27" ht="20" customHeight="1">
      <c r="A27" s="23" t="inlineStr">
        <is>
          <t>Сколы/царапины</t>
        </is>
      </c>
      <c r="B27" s="37" t="inlineStr">
        <is>
          <t>[ Да / Нет ]</t>
        </is>
      </c>
      <c r="C27" s="33" t="n"/>
      <c r="D27" s="33" t="n"/>
    </row>
    <row r="28" ht="20" customHeight="1">
      <c r="A28" s="23" t="inlineStr">
        <is>
          <t>Грязь</t>
        </is>
      </c>
      <c r="B28" s="37" t="inlineStr">
        <is>
          <t>[ Да / Нет ]</t>
        </is>
      </c>
      <c r="C28" s="33" t="n"/>
      <c r="D28" s="33" t="n"/>
    </row>
    <row r="29" ht="20" customHeight="1">
      <c r="A29" s="36" t="inlineStr">
        <is>
          <t>ДВЕРИ РУНН СНАРУЖИ</t>
        </is>
      </c>
      <c r="B29" s="33" t="n"/>
      <c r="C29" s="33" t="n"/>
      <c r="D29" s="33" t="n"/>
    </row>
    <row r="30" ht="20" customHeight="1">
      <c r="A30" s="23" t="inlineStr">
        <is>
          <t>Открыть/закрыть дверь</t>
        </is>
      </c>
      <c r="B30" s="37" t="inlineStr">
        <is>
          <t>[ Да / Нет ]</t>
        </is>
      </c>
      <c r="C30" s="33" t="n"/>
      <c r="D30" s="33" t="n"/>
    </row>
    <row r="31" ht="20" customHeight="1">
      <c r="A31" s="23" t="inlineStr">
        <is>
          <t>Открыть/закрыть ригельный замок</t>
        </is>
      </c>
      <c r="B31" s="37" t="inlineStr">
        <is>
          <t>[ Да / Нет ]</t>
        </is>
      </c>
      <c r="C31" s="33" t="n"/>
      <c r="D31" s="33" t="n"/>
    </row>
    <row r="32" ht="20" customHeight="1">
      <c r="A32" s="23" t="inlineStr">
        <is>
          <t>Открыть/закрыть сетевой замок</t>
        </is>
      </c>
      <c r="B32" s="37" t="inlineStr">
        <is>
          <t>[ Да / Нет ]</t>
        </is>
      </c>
      <c r="C32" s="33" t="n"/>
      <c r="D32" s="33" t="n"/>
    </row>
    <row r="33" ht="20" customHeight="1">
      <c r="A33" s="23" t="inlineStr">
        <is>
          <t>Защитный козырек (вылет)</t>
        </is>
      </c>
      <c r="B33" s="37" t="inlineStr">
        <is>
          <t>[ Да / Нет ]</t>
        </is>
      </c>
      <c r="C33" s="33" t="n"/>
      <c r="D33" s="33" t="n"/>
    </row>
    <row r="34" ht="20" customHeight="1">
      <c r="A34" s="23">
        <f>"Нанести логотип/надпись: " &amp; 'Расчет КТПН'!B3</f>
        <v/>
      </c>
      <c r="B34" s="37" t="inlineStr">
        <is>
          <t>[ Да / Нет ]</t>
        </is>
      </c>
      <c r="C34" s="33" t="n"/>
      <c r="D34" s="33" t="n"/>
    </row>
    <row r="35" ht="20" customHeight="1">
      <c r="A35" s="23" t="inlineStr">
        <is>
          <t>Приклепать знак «Молния»</t>
        </is>
      </c>
      <c r="B35" s="37" t="inlineStr">
        <is>
          <t>[ Да / Нет ]</t>
        </is>
      </c>
      <c r="C35" s="33" t="n"/>
      <c r="D35" s="33" t="n"/>
    </row>
    <row r="36" ht="20" customHeight="1">
      <c r="A36" s="23" t="inlineStr">
        <is>
          <t>На двери нанести надпись «РУ-6 кВ/10кВ»</t>
        </is>
      </c>
      <c r="B36" s="37" t="inlineStr">
        <is>
          <t>[ Да / Нет ]</t>
        </is>
      </c>
      <c r="C36" s="33" t="n"/>
      <c r="D36" s="33" t="n"/>
    </row>
    <row r="37" ht="20" customHeight="1">
      <c r="A37" s="23">
        <f>"Окраска (Двери): " &amp; 'Расчет КТПН'!D13</f>
        <v/>
      </c>
      <c r="B37" s="37" t="inlineStr">
        <is>
          <t>[ Да / Нет ]</t>
        </is>
      </c>
      <c r="C37" s="33" t="n"/>
      <c r="D37" s="33" t="n"/>
    </row>
    <row r="38" ht="20" customHeight="1">
      <c r="A38" s="36" t="inlineStr">
        <is>
          <t>ВЫСОКОВОЛЬТНЫЙ ПОРТАЛ 6(10) кВ</t>
        </is>
      </c>
      <c r="B38" s="33" t="n"/>
      <c r="C38" s="33" t="n"/>
      <c r="D38" s="33" t="n"/>
    </row>
    <row r="39" ht="20" customHeight="1">
      <c r="A39" s="23" t="inlineStr">
        <is>
          <t>Открыть/закрыть замок</t>
        </is>
      </c>
      <c r="B39" s="37" t="inlineStr">
        <is>
          <t>[ Да / Нет ]</t>
        </is>
      </c>
      <c r="C39" s="33" t="n"/>
      <c r="D39" s="33" t="n"/>
    </row>
    <row r="40" ht="20" customHeight="1">
      <c r="A40" s="23" t="inlineStr">
        <is>
          <t>Приварить траверсу для установки изоляторов.</t>
        </is>
      </c>
      <c r="B40" s="37" t="inlineStr">
        <is>
          <t>[ Да / Нет ]</t>
        </is>
      </c>
      <c r="C40" s="33" t="n"/>
      <c r="D40" s="33" t="n"/>
    </row>
    <row r="41" ht="20" customHeight="1">
      <c r="A41" s="23" t="inlineStr">
        <is>
          <t>Монтаж через прокладку (должна выпирать за габарит изолятора)</t>
        </is>
      </c>
      <c r="B41" s="37" t="inlineStr">
        <is>
          <t>[ Да / Нет ]</t>
        </is>
      </c>
      <c r="C41" s="33" t="n"/>
      <c r="D41" s="33" t="n"/>
    </row>
    <row r="42" ht="20" customHeight="1">
      <c r="A42" s="23" t="inlineStr">
        <is>
          <t>Установить замки под треугольный ключ</t>
        </is>
      </c>
      <c r="B42" s="37" t="inlineStr">
        <is>
          <t>[ Да / Нет ]</t>
        </is>
      </c>
      <c r="C42" s="33" t="n"/>
      <c r="D42" s="33" t="n"/>
    </row>
    <row r="43" ht="20" customHeight="1">
      <c r="A43" s="23" t="inlineStr">
        <is>
          <t>Проушины под навесной замок</t>
        </is>
      </c>
      <c r="B43" s="37" t="inlineStr">
        <is>
          <t>[ Да / Нет ]</t>
        </is>
      </c>
      <c r="C43" s="33" t="n"/>
      <c r="D43" s="33" t="n"/>
    </row>
    <row r="44" ht="20" customHeight="1">
      <c r="A44" s="23" t="inlineStr">
        <is>
          <t>Без уплотнителя</t>
        </is>
      </c>
      <c r="B44" s="37" t="inlineStr">
        <is>
          <t>[ Да / Нет ]</t>
        </is>
      </c>
      <c r="C44" s="33" t="n"/>
      <c r="D44" s="33" t="n"/>
    </row>
    <row r="45" ht="20" customHeight="1">
      <c r="A45" s="23" t="inlineStr">
        <is>
          <t>Приваривать болты М6</t>
        </is>
      </c>
      <c r="B45" s="37" t="inlineStr">
        <is>
          <t>[ Да / Нет ]</t>
        </is>
      </c>
      <c r="C45" s="33" t="n"/>
      <c r="D45" s="33" t="n"/>
    </row>
    <row r="46" ht="20" customHeight="1">
      <c r="A46" s="23" t="inlineStr">
        <is>
          <t>Заземлить медным проводом 2,5мм2</t>
        </is>
      </c>
      <c r="B46" s="37" t="inlineStr">
        <is>
          <t>[ Да / Нет ]</t>
        </is>
      </c>
      <c r="C46" s="33" t="n"/>
      <c r="D46" s="33" t="n"/>
    </row>
    <row r="47" ht="20" customHeight="1">
      <c r="A47" s="23" t="inlineStr">
        <is>
          <t>Маркировка заземления на двери и корпусе</t>
        </is>
      </c>
      <c r="B47" s="37" t="inlineStr">
        <is>
          <t>[ Да / Нет ]</t>
        </is>
      </c>
      <c r="C47" s="33" t="n"/>
      <c r="D47" s="33" t="n"/>
    </row>
    <row r="48" ht="20" customHeight="1">
      <c r="A48" s="23" t="inlineStr">
        <is>
          <t>Шины промаркировать краской</t>
        </is>
      </c>
      <c r="B48" s="37" t="inlineStr">
        <is>
          <t>[ Да / Нет ]</t>
        </is>
      </c>
      <c r="C48" s="33" t="n"/>
      <c r="D48" s="33" t="n"/>
    </row>
    <row r="49" ht="20" customHeight="1">
      <c r="A49" s="23" t="inlineStr">
        <is>
          <t>Отсутствие пыли на изоляторах ВНА и РВЗ</t>
        </is>
      </c>
      <c r="B49" s="37" t="inlineStr">
        <is>
          <t>[ Да / Нет ]</t>
        </is>
      </c>
      <c r="C49" s="33" t="n"/>
      <c r="D49" s="33" t="n"/>
    </row>
    <row r="50" ht="20" customHeight="1">
      <c r="A50" s="36" t="inlineStr">
        <is>
          <t>ВНУТРЕННИЙ МОНТАЖ И СОЕДИНЕНИЯ</t>
        </is>
      </c>
      <c r="B50" s="33" t="n"/>
      <c r="C50" s="33" t="n"/>
      <c r="D50" s="33" t="n"/>
    </row>
    <row r="51" ht="20" customHeight="1">
      <c r="A51" s="23" t="inlineStr">
        <is>
          <t>Все контактные соединения использовать гайки, шайбы, гровер</t>
        </is>
      </c>
      <c r="B51" s="37" t="inlineStr">
        <is>
          <t>[ Да / Нет ]</t>
        </is>
      </c>
      <c r="C51" s="33" t="n"/>
      <c r="D51" s="33" t="n"/>
    </row>
    <row r="52" ht="20" customHeight="1">
      <c r="A52" s="23" t="inlineStr">
        <is>
          <t>Наличие крепежа между шинами и бочонками</t>
        </is>
      </c>
      <c r="B52" s="37" t="inlineStr">
        <is>
          <t>[ Да / Нет ]</t>
        </is>
      </c>
      <c r="C52" s="33" t="n"/>
      <c r="D52" s="33" t="n"/>
    </row>
    <row r="53" ht="20" customHeight="1">
      <c r="A53" s="23" t="inlineStr">
        <is>
          <t>Шайба должна перекрывать отверстия на шине</t>
        </is>
      </c>
      <c r="B53" s="37" t="inlineStr">
        <is>
          <t>[ Да / Нет ]</t>
        </is>
      </c>
      <c r="C53" s="33" t="n"/>
      <c r="D53" s="33" t="n"/>
    </row>
    <row r="54" ht="20" customHeight="1">
      <c r="A54" s="23" t="inlineStr">
        <is>
          <t>Вставка в панели для рычагов</t>
        </is>
      </c>
      <c r="B54" s="37" t="inlineStr">
        <is>
          <t>[ Да / Нет ]</t>
        </is>
      </c>
      <c r="C54" s="33" t="n"/>
      <c r="D54" s="33" t="n"/>
    </row>
    <row r="55" ht="20" customHeight="1">
      <c r="A55" s="23" t="inlineStr">
        <is>
          <t>Наличие проушин для рычагов</t>
        </is>
      </c>
      <c r="B55" s="37" t="inlineStr">
        <is>
          <t>[ Да / Нет ]</t>
        </is>
      </c>
      <c r="C55" s="33" t="n"/>
      <c r="D55" s="33" t="n"/>
    </row>
    <row r="56" ht="20" customHeight="1">
      <c r="A56" s="23" t="inlineStr">
        <is>
          <t>Маркировка на ПКТ (16A/20A)</t>
        </is>
      </c>
      <c r="B56" s="37" t="inlineStr">
        <is>
          <t>[ Да / Нет ]</t>
        </is>
      </c>
      <c r="C56" s="33" t="n"/>
      <c r="D56" s="33" t="n"/>
    </row>
    <row r="57" ht="20" customHeight="1">
      <c r="A57" s="23" t="inlineStr">
        <is>
          <t>Шины полностью зайти в замок (ВНА и РВЗ)</t>
        </is>
      </c>
      <c r="B57" s="37" t="inlineStr">
        <is>
          <t>[ Да / Нет ]</t>
        </is>
      </c>
      <c r="C57" s="33" t="n"/>
      <c r="D57" s="33" t="n"/>
    </row>
    <row r="58" ht="20" customHeight="1">
      <c r="A58" s="23" t="inlineStr">
        <is>
          <t>Проверить заземления и маркировку</t>
        </is>
      </c>
      <c r="B58" s="37" t="inlineStr">
        <is>
          <t>[ Да / Нет ]</t>
        </is>
      </c>
      <c r="C58" s="33" t="n"/>
      <c r="D58" s="33" t="n"/>
    </row>
  </sheetData>
  <mergeCells count="7">
    <mergeCell ref="A1:D1"/>
    <mergeCell ref="A50:D50"/>
    <mergeCell ref="A4:D4"/>
    <mergeCell ref="A38:D38"/>
    <mergeCell ref="A29:D29"/>
    <mergeCell ref="A7:D7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2026-06-02T17:29:53Z</dcterms:created>
  <dcterms:modified xmlns:dcterms="http://purl.org/dc/terms/" xmlns:xsi="http://www.w3.org/2001/XMLSchema-instance" xsi:type="dcterms:W3CDTF">2026-06-02T17:29:53Z</dcterms:modified>
</cp:coreProperties>
</file>